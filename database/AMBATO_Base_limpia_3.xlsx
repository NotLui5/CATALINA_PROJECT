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andreapaolasolispazmino/Library/CloudStorage/GoogleDrive-paosolpaz18@gmail.com/Mi unidad/Research/PHD/Projeto/1. Base de datos/Ecuador/"/>
    </mc:Choice>
  </mc:AlternateContent>
  <xr:revisionPtr revIDLastSave="0" documentId="13_ncr:1_{777CB636-E57D-3E48-8C60-1B9DBF365E56}" xr6:coauthVersionLast="37" xr6:coauthVersionMax="37" xr10:uidLastSave="{00000000-0000-0000-0000-000000000000}"/>
  <bookViews>
    <workbookView xWindow="0" yWindow="680" windowWidth="29400" windowHeight="17280" xr2:uid="{00000000-000D-0000-FFFF-FFFF00000000}"/>
  </bookViews>
  <sheets>
    <sheet name="Sheet1" sheetId="1" r:id="rId1"/>
  </sheets>
  <definedNames>
    <definedName name="_xlnm._FilterDatabase" localSheetId="0" hidden="1">Sheet1!$A$1:$AV$92</definedName>
  </definedNames>
  <calcPr calcId="179021"/>
  <extLst>
    <ext uri="GoogleSheetsCustomDataVersion2">
      <go:sheetsCustomData xmlns:go="http://customooxmlschemas.google.com/" r:id="rId6" roundtripDataChecksum="MEpATwGw2+PqDsjxs6aUym/XWHL07Ii63C7NjGlKWNI="/>
    </ext>
  </extLst>
</workbook>
</file>

<file path=xl/calcChain.xml><?xml version="1.0" encoding="utf-8"?>
<calcChain xmlns="http://schemas.openxmlformats.org/spreadsheetml/2006/main">
  <c r="AQ184" i="1" l="1"/>
  <c r="AQ183" i="1"/>
  <c r="AQ182" i="1"/>
  <c r="AQ181" i="1"/>
  <c r="AQ180" i="1"/>
  <c r="AQ179" i="1"/>
  <c r="AQ178" i="1"/>
  <c r="AQ177" i="1"/>
  <c r="AQ176" i="1"/>
  <c r="AQ175" i="1"/>
  <c r="AQ174" i="1"/>
  <c r="AQ173" i="1"/>
  <c r="AQ172" i="1"/>
  <c r="AQ171" i="1"/>
  <c r="AQ170" i="1"/>
  <c r="AQ169" i="1"/>
  <c r="AQ168" i="1"/>
  <c r="AQ167" i="1"/>
  <c r="AQ166" i="1"/>
  <c r="AQ165" i="1"/>
  <c r="AQ164" i="1"/>
  <c r="AQ163" i="1"/>
  <c r="AQ162" i="1"/>
  <c r="AQ161" i="1"/>
  <c r="AQ160" i="1"/>
  <c r="AQ159" i="1"/>
  <c r="AQ158" i="1"/>
  <c r="AQ157" i="1"/>
  <c r="AQ156" i="1"/>
  <c r="AQ155" i="1"/>
  <c r="AQ154" i="1"/>
  <c r="AQ153" i="1"/>
  <c r="AQ152" i="1"/>
  <c r="AQ151" i="1"/>
  <c r="AQ150" i="1"/>
  <c r="AQ149" i="1"/>
  <c r="AQ148" i="1"/>
  <c r="AQ147" i="1"/>
  <c r="AQ146" i="1"/>
  <c r="AQ145" i="1"/>
  <c r="AQ144" i="1"/>
  <c r="AQ143" i="1"/>
  <c r="AQ142" i="1"/>
  <c r="AQ141" i="1"/>
  <c r="AQ140" i="1"/>
  <c r="AQ139" i="1"/>
  <c r="AQ138" i="1"/>
  <c r="AQ137" i="1"/>
  <c r="AQ136" i="1"/>
  <c r="AQ135" i="1"/>
  <c r="AQ134" i="1"/>
  <c r="AQ133" i="1"/>
  <c r="AQ132" i="1"/>
  <c r="AQ131" i="1"/>
  <c r="AQ130" i="1"/>
  <c r="AQ129" i="1"/>
  <c r="AQ128" i="1"/>
  <c r="AQ127" i="1"/>
  <c r="AQ126" i="1"/>
  <c r="AQ125" i="1"/>
  <c r="AQ124" i="1"/>
  <c r="AQ123" i="1"/>
  <c r="AQ122" i="1"/>
  <c r="AQ121" i="1"/>
  <c r="AQ120" i="1"/>
  <c r="AQ119" i="1"/>
  <c r="AQ118" i="1"/>
  <c r="AQ117" i="1"/>
  <c r="AQ116" i="1"/>
  <c r="AQ115" i="1"/>
  <c r="AQ114" i="1"/>
  <c r="AQ113" i="1"/>
  <c r="AQ112" i="1"/>
  <c r="AQ111" i="1"/>
  <c r="AQ110" i="1"/>
  <c r="AQ109" i="1"/>
  <c r="AQ108" i="1"/>
  <c r="AQ107" i="1"/>
  <c r="AQ106" i="1"/>
  <c r="AQ105" i="1"/>
  <c r="AQ104" i="1"/>
  <c r="AQ103" i="1"/>
  <c r="AQ102" i="1"/>
  <c r="AQ101" i="1"/>
  <c r="AQ100" i="1"/>
  <c r="AQ99" i="1"/>
  <c r="AQ98" i="1"/>
  <c r="AQ97" i="1"/>
  <c r="AQ96" i="1"/>
  <c r="AQ95" i="1"/>
  <c r="AQ94" i="1"/>
  <c r="AQ93" i="1"/>
  <c r="AQ26" i="1"/>
  <c r="AQ16" i="1"/>
  <c r="V16" i="1"/>
  <c r="AQ25" i="1"/>
  <c r="AQ32" i="1"/>
  <c r="AQ4" i="1"/>
  <c r="V4" i="1"/>
  <c r="AQ34" i="1"/>
  <c r="V34" i="1"/>
  <c r="AQ30" i="1"/>
  <c r="AQ41" i="1"/>
  <c r="AQ27" i="1"/>
  <c r="V27" i="1"/>
  <c r="AQ20" i="1"/>
  <c r="V20" i="1"/>
  <c r="AQ38" i="1"/>
  <c r="AQ13" i="1"/>
  <c r="AQ37" i="1"/>
  <c r="AQ31" i="1"/>
  <c r="AQ28" i="1"/>
  <c r="AQ19" i="1"/>
  <c r="AQ39" i="1"/>
  <c r="AQ29" i="1"/>
  <c r="V29" i="1"/>
  <c r="AQ5" i="1"/>
  <c r="AQ22" i="1"/>
  <c r="AQ15" i="1"/>
  <c r="AQ40" i="1"/>
  <c r="AQ10" i="1"/>
  <c r="V10" i="1"/>
  <c r="AQ45" i="1"/>
  <c r="AQ36" i="1"/>
  <c r="AQ42" i="1"/>
  <c r="AQ53" i="1"/>
  <c r="V53" i="1"/>
  <c r="AQ59" i="1"/>
  <c r="AQ43" i="1"/>
  <c r="AQ17" i="1"/>
  <c r="V17" i="1"/>
  <c r="AQ52" i="1"/>
  <c r="AQ50" i="1"/>
  <c r="AQ48" i="1"/>
  <c r="AQ6" i="1"/>
  <c r="V6" i="1"/>
  <c r="AQ49" i="1"/>
  <c r="AQ61" i="1"/>
  <c r="V61" i="1"/>
  <c r="AQ57" i="1"/>
  <c r="AQ14" i="1"/>
  <c r="AQ21" i="1"/>
  <c r="AQ55" i="1"/>
  <c r="AQ33" i="1"/>
  <c r="AQ46" i="1"/>
  <c r="AQ63" i="1"/>
  <c r="AQ72" i="1"/>
  <c r="AQ54" i="1"/>
  <c r="V54" i="1"/>
  <c r="AQ67" i="1"/>
  <c r="AQ47" i="1"/>
  <c r="V47" i="1"/>
  <c r="AQ11" i="1"/>
  <c r="AQ3" i="1"/>
  <c r="AQ77" i="1"/>
  <c r="AQ44" i="1"/>
  <c r="V44" i="1"/>
  <c r="AQ35" i="1"/>
  <c r="AQ65" i="1"/>
  <c r="AQ56" i="1"/>
  <c r="AQ18" i="1"/>
  <c r="AQ70" i="1"/>
  <c r="AQ79" i="1"/>
  <c r="AQ66" i="1"/>
  <c r="AQ51" i="1"/>
  <c r="AQ2" i="1"/>
  <c r="AQ60" i="1"/>
  <c r="AQ58" i="1"/>
  <c r="AQ7" i="1"/>
  <c r="V7" i="1"/>
  <c r="AQ76" i="1"/>
  <c r="AQ73" i="1"/>
  <c r="AQ78" i="1"/>
  <c r="AQ24" i="1"/>
  <c r="AQ80" i="1"/>
  <c r="AQ83" i="1"/>
  <c r="AQ64" i="1"/>
  <c r="V64" i="1"/>
  <c r="AQ75" i="1"/>
  <c r="AQ74" i="1"/>
  <c r="AQ84" i="1"/>
  <c r="AQ12" i="1"/>
  <c r="AQ71" i="1"/>
  <c r="AQ68" i="1"/>
  <c r="AQ82" i="1"/>
  <c r="AQ81" i="1"/>
  <c r="AQ23" i="1"/>
  <c r="AQ85" i="1"/>
  <c r="AQ86" i="1"/>
  <c r="AQ62" i="1"/>
  <c r="AQ90" i="1"/>
  <c r="V90" i="1"/>
  <c r="AQ91" i="1"/>
  <c r="AQ89" i="1"/>
  <c r="AQ87" i="1"/>
  <c r="AQ8" i="1"/>
  <c r="V8" i="1"/>
  <c r="AQ88" i="1"/>
  <c r="AQ9" i="1"/>
  <c r="V9" i="1"/>
  <c r="AQ92" i="1"/>
  <c r="V92" i="1"/>
  <c r="AQ6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00000000-0006-0000-0000-00000E000000}">
      <text>
        <r>
          <rPr>
            <sz val="11"/>
            <color theme="1"/>
            <rFont val="Calibri"/>
            <scheme val="minor"/>
          </rPr>
          <t>======
ID#AAABtGAn8Fc
Asus    (2024-10-06 15:22:43)
1 SI
2 NO</t>
        </r>
      </text>
    </comment>
    <comment ref="E1" authorId="0" shapeId="0" xr:uid="{00000000-0006-0000-0000-00000F000000}">
      <text>
        <r>
          <rPr>
            <sz val="11"/>
            <color theme="1"/>
            <rFont val="Calibri"/>
            <scheme val="minor"/>
          </rPr>
          <t>======
ID#AAABtGAn8FM
Asus    (2024-10-06 15:22:43)
1 SI
2 NO</t>
        </r>
      </text>
    </comment>
    <comment ref="F1" authorId="0" shapeId="0" xr:uid="{00000000-0006-0000-0000-00000D000000}">
      <text>
        <r>
          <rPr>
            <sz val="11"/>
            <color theme="1"/>
            <rFont val="Calibri"/>
            <scheme val="minor"/>
          </rPr>
          <t>======
ID#AAABtGAn8F0
Asus    (2024-10-06 15:22:43)
1 EUTIROIDISMO
2 HIPOTIROIDISMO
3 HIPERTIROIDISMO</t>
        </r>
      </text>
    </comment>
    <comment ref="H1" authorId="0" shapeId="0" xr:uid="{00000000-0006-0000-0000-00000C000000}">
      <text>
        <r>
          <rPr>
            <sz val="11"/>
            <color theme="1"/>
            <rFont val="Calibri"/>
            <scheme val="minor"/>
          </rPr>
          <t>======
ID#AAABtGAn8F4
Asus    (2024-10-06 15:22:43)
1 TOTAL
2 HEMITIROIDECTOMIA
3 DOS TIEMPOS</t>
        </r>
      </text>
    </comment>
    <comment ref="J1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ID#AAABtGAn8FY
Asus    (2025-01-12 10:40:32)
PAPILAR
FOLICULAR</t>
        </r>
      </text>
    </comment>
    <comment ref="N1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ID#AAABtGAn8FU
    (2025-04-08 00:35:40)
1. Ausente
2. Microscopica
3. Macroscopica
4. No evaluada</t>
        </r>
      </text>
    </comment>
    <comment ref="Q1" authorId="0" shapeId="0" xr:uid="{00000000-0006-0000-0000-000008000000}">
      <text>
        <r>
          <rPr>
            <sz val="11"/>
            <color theme="1"/>
            <rFont val="Calibri"/>
            <scheme val="minor"/>
          </rPr>
          <t>======
ID#AAABtGAn8GA
Asus    (2025-01-12 10:40:32)
1. SI
2. NO</t>
        </r>
      </text>
    </comment>
    <comment ref="R1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ID#AAABtGAn8Fw
Asus    (2025-01-12 10:40:32)
1. SI
2. NO</t>
        </r>
      </text>
    </comment>
    <comment ref="Y1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ID#AAABtGAn8FQ
Asus    (2025-01-12 10:40:32)
1. SI
2. NO</t>
        </r>
      </text>
    </comment>
    <comment ref="AD1" authorId="0" shapeId="0" xr:uid="{00000000-0006-0000-0000-000009000000}">
      <text>
        <r>
          <rPr>
            <sz val="11"/>
            <color theme="1"/>
            <rFont val="Calibri"/>
            <scheme val="minor"/>
          </rPr>
          <t>======
ID#AAABtGAn8Fk
Asus    (2025-01-12 10:40:32)
MUTATED
WILD TYPE</t>
        </r>
      </text>
    </comment>
    <comment ref="AE1" authorId="0" shapeId="0" xr:uid="{00000000-0006-0000-0000-00000B000000}">
      <text>
        <r>
          <rPr>
            <sz val="11"/>
            <color theme="1"/>
            <rFont val="Calibri"/>
            <scheme val="minor"/>
          </rPr>
          <t>======
ID#AAABtGAn8Fg
Asus    (2025-01-12 10:40:32)
HIGH RISK
INTERMEDIATE RISK
LOW RISK 
VERY LOW RISK</t>
        </r>
      </text>
    </comment>
    <comment ref="AK1" authorId="0" shapeId="0" xr:uid="{00000000-0006-0000-0000-00000A000000}">
      <text>
        <r>
          <rPr>
            <sz val="11"/>
            <color theme="1"/>
            <rFont val="Calibri"/>
            <scheme val="minor"/>
          </rPr>
          <t>======
ID#AAABtGAn8FI
Asus    (2025-01-12 10:40:32)
1. SI
2. NO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Uqg9oG7S0Re1L+qiLQUy1qab0VQ=="/>
    </ext>
  </extLst>
</comments>
</file>

<file path=xl/sharedStrings.xml><?xml version="1.0" encoding="utf-8"?>
<sst xmlns="http://schemas.openxmlformats.org/spreadsheetml/2006/main" count="402" uniqueCount="189">
  <si>
    <t>record_id</t>
  </si>
  <si>
    <t>SEX</t>
  </si>
  <si>
    <t>AGEATDIGNOSIS</t>
  </si>
  <si>
    <t>RADIOTHERAPY EXPOSURE</t>
  </si>
  <si>
    <t>FAMILY HISTORY OF THYROID CANCER</t>
  </si>
  <si>
    <t>THYROID DISEASE PREOP</t>
  </si>
  <si>
    <t>BMI</t>
  </si>
  <si>
    <t>THYROIDECTOMY APPROACH</t>
  </si>
  <si>
    <t>TYPEOFRESECTION</t>
  </si>
  <si>
    <t>HISTOLOGY</t>
  </si>
  <si>
    <t>PAPILLARYSUBTYPE</t>
  </si>
  <si>
    <t>FOLLICULARSUBTYPE</t>
  </si>
  <si>
    <t>TUMORSIZE (cm)</t>
  </si>
  <si>
    <t>EXTRATHYROIDALEXTENSION</t>
  </si>
  <si>
    <t>MULTICENTRIC</t>
  </si>
  <si>
    <t>MULTICENTER_BILATERAL</t>
  </si>
  <si>
    <t>VASCULARINVASION</t>
  </si>
  <si>
    <t>PERINEURALINVASION</t>
  </si>
  <si>
    <t>POSITIVELYMPHNODEN1</t>
  </si>
  <si>
    <t>NUMBEROFLYMPHNODEEXCISION</t>
  </si>
  <si>
    <t>NUMBEROFPOSITIVELYMPHNODEEXCISION</t>
  </si>
  <si>
    <t>LN RATIO</t>
  </si>
  <si>
    <t>SIZEOFPOSITIVELYMPHNODE(cm)</t>
  </si>
  <si>
    <t>EXTRANODALEXTENSION</t>
  </si>
  <si>
    <t>HASHIMOTO THYROIDITIS</t>
  </si>
  <si>
    <t xml:space="preserve">TNMT </t>
  </si>
  <si>
    <t>TNMN</t>
  </si>
  <si>
    <t>TNMM</t>
  </si>
  <si>
    <t>STAGE</t>
  </si>
  <si>
    <t>MUTATION</t>
  </si>
  <si>
    <t>ATA_2015_RISCO_INICIAL</t>
  </si>
  <si>
    <t>ATA_2025_RISCO_INICIAL</t>
  </si>
  <si>
    <t xml:space="preserve">TSH POST OP </t>
  </si>
  <si>
    <t>TG POST OP</t>
  </si>
  <si>
    <t>ANTI TG POST OP (POSITIVE or NEGATIVE)</t>
  </si>
  <si>
    <t>ANTI TG POST OP VALUE</t>
  </si>
  <si>
    <t>RAI</t>
  </si>
  <si>
    <t>TSH PRE RAI</t>
  </si>
  <si>
    <t>TG PRE RAI</t>
  </si>
  <si>
    <t>ANTI TG PRE RAI (POSITIVE or NEGATIVE)</t>
  </si>
  <si>
    <t xml:space="preserve">ANTI TG PRE RAI </t>
  </si>
  <si>
    <t>ATA2025LAST_ULTIMA_CONSULTA</t>
  </si>
  <si>
    <t>OUTCOMEFOLLOWUP_MONTHSPOSTSURGERY</t>
  </si>
  <si>
    <t>4.15</t>
  </si>
  <si>
    <t>0.8</t>
  </si>
  <si>
    <t>0.10</t>
  </si>
  <si>
    <t>2.85</t>
  </si>
  <si>
    <t>0.05</t>
  </si>
  <si>
    <t>0.53</t>
  </si>
  <si>
    <t>0.90</t>
  </si>
  <si>
    <t>10.00</t>
  </si>
  <si>
    <t>0.16</t>
  </si>
  <si>
    <t>3.0</t>
  </si>
  <si>
    <t>11.00</t>
  </si>
  <si>
    <t>0.11</t>
  </si>
  <si>
    <t>0.42</t>
  </si>
  <si>
    <t>0.23</t>
  </si>
  <si>
    <t>2.52</t>
  </si>
  <si>
    <t>0.24</t>
  </si>
  <si>
    <t>0.1</t>
  </si>
  <si>
    <t>0.20</t>
  </si>
  <si>
    <t>0.14</t>
  </si>
  <si>
    <t>0.7</t>
  </si>
  <si>
    <t>0.12</t>
  </si>
  <si>
    <t>17.0</t>
  </si>
  <si>
    <t>0.26</t>
  </si>
  <si>
    <t>1.0</t>
  </si>
  <si>
    <t>0.60</t>
  </si>
  <si>
    <t>0.08</t>
  </si>
  <si>
    <t>0.04</t>
  </si>
  <si>
    <t>0.06</t>
  </si>
  <si>
    <t>0.13</t>
  </si>
  <si>
    <t>1.54</t>
  </si>
  <si>
    <t>0.31</t>
  </si>
  <si>
    <t>0.6</t>
  </si>
  <si>
    <t>0.34</t>
  </si>
  <si>
    <t>0.32</t>
  </si>
  <si>
    <t>0.01</t>
  </si>
  <si>
    <t>0.3</t>
  </si>
  <si>
    <t>0.5</t>
  </si>
  <si>
    <t>5.50</t>
  </si>
  <si>
    <t>0.30</t>
  </si>
  <si>
    <t>18.00</t>
  </si>
  <si>
    <t>14.0</t>
  </si>
  <si>
    <t>0.41</t>
  </si>
  <si>
    <t>12.00</t>
  </si>
  <si>
    <t>0.29</t>
  </si>
  <si>
    <t>1.50</t>
  </si>
  <si>
    <t>1.45</t>
  </si>
  <si>
    <t>0.22</t>
  </si>
  <si>
    <t>0.78</t>
  </si>
  <si>
    <t>1.34</t>
  </si>
  <si>
    <t>0.56</t>
  </si>
  <si>
    <t>24.70</t>
  </si>
  <si>
    <t>0.39</t>
  </si>
  <si>
    <t>0.50</t>
  </si>
  <si>
    <t>1.80</t>
  </si>
  <si>
    <t>0.03</t>
  </si>
  <si>
    <t>14.00</t>
  </si>
  <si>
    <t>32.7</t>
  </si>
  <si>
    <t>1.27</t>
  </si>
  <si>
    <t>0.15</t>
  </si>
  <si>
    <t>16.20</t>
  </si>
  <si>
    <t>0.9</t>
  </si>
  <si>
    <t>0.33</t>
  </si>
  <si>
    <t>6.70</t>
  </si>
  <si>
    <t>0.09</t>
  </si>
  <si>
    <t>11.34</t>
  </si>
  <si>
    <t>0.02</t>
  </si>
  <si>
    <t>2.69</t>
  </si>
  <si>
    <t>0.2</t>
  </si>
  <si>
    <t>0.25</t>
  </si>
  <si>
    <t>0.35</t>
  </si>
  <si>
    <t>0.40</t>
  </si>
  <si>
    <t>4.96</t>
  </si>
  <si>
    <t>0.80</t>
  </si>
  <si>
    <t>0.48</t>
  </si>
  <si>
    <t>5.70</t>
  </si>
  <si>
    <t>15.26</t>
  </si>
  <si>
    <t>11.0</t>
  </si>
  <si>
    <t>99.4</t>
  </si>
  <si>
    <t>28.8</t>
  </si>
  <si>
    <t>35.08</t>
  </si>
  <si>
    <t>0.64</t>
  </si>
  <si>
    <t>0.4</t>
  </si>
  <si>
    <t>2.0</t>
  </si>
  <si>
    <t>0.88</t>
  </si>
  <si>
    <t>36.5</t>
  </si>
  <si>
    <t>0.45</t>
  </si>
  <si>
    <t>29.40</t>
  </si>
  <si>
    <t>0.51</t>
  </si>
  <si>
    <t>19.0</t>
  </si>
  <si>
    <t>0.93</t>
  </si>
  <si>
    <t>59.77</t>
  </si>
  <si>
    <t>1.16</t>
  </si>
  <si>
    <t>34.9</t>
  </si>
  <si>
    <t>13.0</t>
  </si>
  <si>
    <t>0.27</t>
  </si>
  <si>
    <t>0.19</t>
  </si>
  <si>
    <t>0.21</t>
  </si>
  <si>
    <t>6.98</t>
  </si>
  <si>
    <t>5.06</t>
  </si>
  <si>
    <t>0.38</t>
  </si>
  <si>
    <t>3.80</t>
  </si>
  <si>
    <t>1.20</t>
  </si>
  <si>
    <t>34.0</t>
  </si>
  <si>
    <t>1.17</t>
  </si>
  <si>
    <t>4.44</t>
  </si>
  <si>
    <t>0.17</t>
  </si>
  <si>
    <t>41.2</t>
  </si>
  <si>
    <t>3.17</t>
  </si>
  <si>
    <t>2.95</t>
  </si>
  <si>
    <t>4.27</t>
  </si>
  <si>
    <t>0.07</t>
  </si>
  <si>
    <t>2.39</t>
  </si>
  <si>
    <t>14.40</t>
  </si>
  <si>
    <t>3.44</t>
  </si>
  <si>
    <t>85.0</t>
  </si>
  <si>
    <t>23.7</t>
  </si>
  <si>
    <t>0.59</t>
  </si>
  <si>
    <t>12.94</t>
  </si>
  <si>
    <t>3.42</t>
  </si>
  <si>
    <t>29.0</t>
  </si>
  <si>
    <t>5.80</t>
  </si>
  <si>
    <t>10.30</t>
  </si>
  <si>
    <t>21.83</t>
  </si>
  <si>
    <t>20.80</t>
  </si>
  <si>
    <t>1.89</t>
  </si>
  <si>
    <t>19.23</t>
  </si>
  <si>
    <t>3.60</t>
  </si>
  <si>
    <t>47.8</t>
  </si>
  <si>
    <t>3.89</t>
  </si>
  <si>
    <t>3.45</t>
  </si>
  <si>
    <t>22.91</t>
  </si>
  <si>
    <t>78.5</t>
  </si>
  <si>
    <t>1.00</t>
  </si>
  <si>
    <t>68.50</t>
  </si>
  <si>
    <t>15.00</t>
  </si>
  <si>
    <t>9.46</t>
  </si>
  <si>
    <t>TSH FOLLOW UP</t>
  </si>
  <si>
    <t>TG FOLLOW UP</t>
  </si>
  <si>
    <t>ANTI TG FOLLOW UP (POSITIVE or NEGATIVE)</t>
  </si>
  <si>
    <t>ANTI TG FOLLOW UP</t>
  </si>
  <si>
    <t>1.06</t>
  </si>
  <si>
    <t>2.07</t>
  </si>
  <si>
    <t>3.03</t>
  </si>
  <si>
    <t>1.04</t>
  </si>
  <si>
    <t>RAIDOSE</t>
  </si>
  <si>
    <t>ATA2015_ULTIMA_CONSULTA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</si>
</sst>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d\.m"/>
    <numFmt numFmtId="166" formatCode="dd\.mm"/>
  </numFmts>
  <fonts count="6" x14ac:knownFonts="1">
    <font>
      <sz val="11"/>
      <color theme="1"/>
      <name val="Calibri"/>
      <scheme val="minor"/>
    </font>
    <font>
      <sz val="10"/>
      <color theme="1"/>
      <name val="Calibri"/>
    </font>
    <font>
      <sz val="11"/>
      <color theme="1"/>
      <name val="Calibri"/>
    </font>
    <font>
      <sz val="11"/>
      <color rgb="FF1F1F1F"/>
      <name val="Calibri"/>
    </font>
    <font>
      <sz val="12"/>
      <color theme="1"/>
      <name val="Calibri"/>
    </font>
    <font>
      <sz val="11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DE9D9"/>
        <bgColor rgb="FFFDE9D9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CCFF99"/>
        <bgColor rgb="FFCCFF99"/>
      </patternFill>
    </fill>
    <fill>
      <patternFill patternType="solid">
        <fgColor rgb="FFC6D9F0"/>
        <bgColor rgb="FFC6D9F0"/>
      </patternFill>
    </fill>
    <fill>
      <patternFill patternType="solid">
        <fgColor rgb="FFB8CCE4"/>
        <bgColor rgb="FFB8CCE4"/>
      </patternFill>
    </fill>
    <fill>
      <patternFill patternType="solid">
        <fgColor rgb="FFCCC0D9"/>
        <bgColor rgb="FFCCC0D9"/>
      </patternFill>
    </fill>
    <fill>
      <patternFill patternType="solid">
        <fgColor rgb="FFFFFFFF"/>
        <bgColor rgb="FFFFFFFF"/>
      </patternFill>
    </fill>
    <fill>
      <patternFill patternType="solid">
        <fgColor rgb="FF92CDDC"/>
        <bgColor rgb="FF92CDDC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0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5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3" fillId="10" borderId="2" xfId="0" applyFont="1" applyFill="1" applyBorder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0" fontId="2" fillId="4" borderId="2" xfId="0" applyFont="1" applyFill="1" applyBorder="1"/>
    <xf numFmtId="0" fontId="2" fillId="4" borderId="2" xfId="0" applyFont="1" applyFill="1" applyBorder="1" applyAlignment="1">
      <alignment horizontal="center"/>
    </xf>
    <xf numFmtId="0" fontId="3" fillId="11" borderId="2" xfId="0" applyFont="1" applyFill="1" applyBorder="1"/>
    <xf numFmtId="165" fontId="2" fillId="0" borderId="0" xfId="0" applyNumberFormat="1" applyFont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2" fillId="11" borderId="2" xfId="0" applyFont="1" applyFill="1" applyBorder="1"/>
    <xf numFmtId="166" fontId="2" fillId="0" borderId="0" xfId="0" applyNumberFormat="1" applyFont="1" applyAlignment="1">
      <alignment horizontal="center"/>
    </xf>
    <xf numFmtId="0" fontId="2" fillId="10" borderId="2" xfId="0" applyFont="1" applyFill="1" applyBorder="1"/>
    <xf numFmtId="164" fontId="2" fillId="0" borderId="0" xfId="0" applyNumberFormat="1" applyFont="1"/>
    <xf numFmtId="0" fontId="2" fillId="12" borderId="2" xfId="0" applyFont="1" applyFill="1" applyBorder="1" applyAlignment="1">
      <alignment horizontal="center"/>
    </xf>
    <xf numFmtId="0" fontId="2" fillId="12" borderId="2" xfId="0" applyFont="1" applyFill="1" applyBorder="1"/>
    <xf numFmtId="0" fontId="2" fillId="14" borderId="2" xfId="0" applyFont="1" applyFill="1" applyBorder="1" applyAlignment="1">
      <alignment horizontal="center"/>
    </xf>
    <xf numFmtId="0" fontId="2" fillId="14" borderId="2" xfId="0" applyFont="1" applyFill="1" applyBorder="1"/>
    <xf numFmtId="0" fontId="2" fillId="8" borderId="2" xfId="0" applyFont="1" applyFill="1" applyBorder="1"/>
    <xf numFmtId="0" fontId="2" fillId="0" borderId="2" xfId="0" applyFont="1" applyBorder="1"/>
    <xf numFmtId="0" fontId="3" fillId="10" borderId="0" xfId="0" applyFont="1" applyFill="1" applyBorder="1"/>
    <xf numFmtId="0" fontId="2" fillId="11" borderId="0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12" borderId="0" xfId="0" applyFont="1" applyFill="1" applyBorder="1" applyAlignment="1">
      <alignment horizontal="center"/>
    </xf>
    <xf numFmtId="164" fontId="2" fillId="11" borderId="0" xfId="0" applyNumberFormat="1" applyFont="1" applyFill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165" fontId="2" fillId="11" borderId="0" xfId="0" applyNumberFormat="1" applyFont="1" applyFill="1" applyBorder="1" applyAlignment="1">
      <alignment horizontal="center"/>
    </xf>
    <xf numFmtId="164" fontId="2" fillId="12" borderId="0" xfId="0" applyNumberFormat="1" applyFont="1" applyFill="1" applyBorder="1" applyAlignment="1">
      <alignment horizontal="center"/>
    </xf>
    <xf numFmtId="0" fontId="2" fillId="11" borderId="0" xfId="0" applyFont="1" applyFill="1" applyBorder="1"/>
    <xf numFmtId="0" fontId="2" fillId="12" borderId="0" xfId="0" applyFont="1" applyFill="1" applyBorder="1"/>
    <xf numFmtId="0" fontId="5" fillId="0" borderId="2" xfId="0" applyFont="1" applyFill="1" applyBorder="1" applyAlignment="1">
      <alignment horizontal="center" vertical="top" wrapText="1"/>
    </xf>
    <xf numFmtId="2" fontId="5" fillId="0" borderId="2" xfId="0" applyNumberFormat="1" applyFont="1" applyFill="1" applyBorder="1" applyAlignment="1">
      <alignment horizontal="center" vertical="top" wrapText="1"/>
    </xf>
    <xf numFmtId="0" fontId="2" fillId="0" borderId="0" xfId="0" applyFon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165" fontId="2" fillId="0" borderId="0" xfId="0" applyNumberFormat="1" applyFont="1" applyBorder="1" applyAlignment="1">
      <alignment horizontal="center"/>
    </xf>
    <xf numFmtId="0" fontId="2" fillId="0" borderId="0" xfId="0" applyFont="1" applyBorder="1"/>
    <xf numFmtId="0" fontId="0" fillId="0" borderId="0" xfId="0" applyFont="1" applyBorder="1" applyAlignment="1"/>
    <xf numFmtId="164" fontId="2" fillId="0" borderId="0" xfId="0" applyNumberFormat="1" applyFont="1" applyBorder="1"/>
    <xf numFmtId="0" fontId="4" fillId="0" borderId="0" xfId="0" applyFont="1" applyBorder="1"/>
    <xf numFmtId="166" fontId="2" fillId="0" borderId="0" xfId="0" applyNumberFormat="1" applyFont="1" applyBorder="1" applyAlignment="1">
      <alignment horizontal="center"/>
    </xf>
    <xf numFmtId="3" fontId="2" fillId="0" borderId="0" xfId="0" applyNumberFormat="1" applyFont="1" applyBorder="1" applyAlignment="1">
      <alignment horizontal="center"/>
    </xf>
    <xf numFmtId="0" fontId="2" fillId="13" borderId="0" xfId="0" applyFont="1" applyFill="1" applyBorder="1"/>
    <xf numFmtId="0" fontId="2" fillId="0" borderId="0" xfId="0" applyFont="1" applyBorder="1" applyAlignment="1">
      <alignment horizontal="right"/>
    </xf>
    <xf numFmtId="0" fontId="2" fillId="10" borderId="0" xfId="0" applyFont="1" applyFill="1" applyBorder="1"/>
    <xf numFmtId="0" fontId="0" fillId="0" borderId="2" xfId="0" applyFont="1" applyBorder="1" applyAlignment="1"/>
    <xf numFmtId="49" fontId="2" fillId="0" borderId="0" xfId="0" applyNumberFormat="1" applyFont="1" applyBorder="1" applyAlignment="1">
      <alignment horizontal="center"/>
    </xf>
    <xf numFmtId="166" fontId="2" fillId="0" borderId="2" xfId="0" applyNumberFormat="1" applyFont="1" applyBorder="1"/>
    <xf numFmtId="0" fontId="0" fillId="0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91"/>
  <sheetViews>
    <sheetView tabSelected="1" topLeftCell="X1" workbookViewId="0">
      <pane ySplit="1" topLeftCell="A2" activePane="bottomLeft" state="frozen"/>
      <selection pane="bottomLeft" activeCell="AW14" sqref="AW14"/>
    </sheetView>
  </sheetViews>
  <sheetFormatPr baseColWidth="10" defaultColWidth="14.5" defaultRowHeight="15" customHeight="1" x14ac:dyDescent="0.2"/>
  <cols>
    <col min="1" max="1" width="14.6640625" customWidth="1"/>
    <col min="4" max="4" width="8.83203125" customWidth="1"/>
    <col min="5" max="5" width="14.6640625" customWidth="1"/>
    <col min="6" max="6" width="17.83203125" customWidth="1"/>
    <col min="7" max="7" width="10.83203125" customWidth="1"/>
    <col min="8" max="9" width="12.6640625" customWidth="1"/>
    <col min="10" max="10" width="19.33203125" customWidth="1"/>
    <col min="11" max="11" width="25.6640625" customWidth="1"/>
    <col min="12" max="12" width="8.83203125" customWidth="1"/>
    <col min="13" max="13" width="9.1640625" customWidth="1"/>
    <col min="14" max="14" width="9.6640625" customWidth="1"/>
    <col min="15" max="15" width="11.5" customWidth="1"/>
    <col min="16" max="16" width="9.33203125" customWidth="1"/>
    <col min="17" max="24" width="8.83203125" customWidth="1"/>
    <col min="25" max="25" width="7" customWidth="1"/>
    <col min="26" max="42" width="8.83203125" customWidth="1"/>
    <col min="44" max="47" width="8.83203125" customWidth="1"/>
    <col min="48" max="48" width="10.5" customWidth="1"/>
  </cols>
  <sheetData>
    <row r="1" spans="1:49" ht="112.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5" t="s">
        <v>15</v>
      </c>
      <c r="Q1" s="2" t="s">
        <v>16</v>
      </c>
      <c r="R1" s="2" t="s">
        <v>17</v>
      </c>
      <c r="S1" s="6" t="s">
        <v>18</v>
      </c>
      <c r="T1" s="6" t="s">
        <v>19</v>
      </c>
      <c r="U1" s="6" t="s">
        <v>20</v>
      </c>
      <c r="V1" s="7" t="s">
        <v>21</v>
      </c>
      <c r="W1" s="2" t="s">
        <v>22</v>
      </c>
      <c r="X1" s="2" t="s">
        <v>23</v>
      </c>
      <c r="Y1" s="2" t="s">
        <v>24</v>
      </c>
      <c r="Z1" s="8" t="s">
        <v>25</v>
      </c>
      <c r="AA1" s="8" t="s">
        <v>26</v>
      </c>
      <c r="AB1" s="2" t="s">
        <v>27</v>
      </c>
      <c r="AC1" s="9" t="s">
        <v>28</v>
      </c>
      <c r="AD1" s="6" t="s">
        <v>29</v>
      </c>
      <c r="AE1" s="6" t="s">
        <v>30</v>
      </c>
      <c r="AF1" s="10" t="s">
        <v>31</v>
      </c>
      <c r="AG1" s="2" t="s">
        <v>32</v>
      </c>
      <c r="AH1" s="8" t="s">
        <v>33</v>
      </c>
      <c r="AI1" s="10" t="s">
        <v>34</v>
      </c>
      <c r="AJ1" s="8" t="s">
        <v>35</v>
      </c>
      <c r="AK1" s="2" t="s">
        <v>36</v>
      </c>
      <c r="AL1" s="59" t="s">
        <v>187</v>
      </c>
      <c r="AM1" s="8" t="s">
        <v>37</v>
      </c>
      <c r="AN1" s="8" t="s">
        <v>38</v>
      </c>
      <c r="AO1" s="10" t="s">
        <v>39</v>
      </c>
      <c r="AP1" s="8" t="s">
        <v>40</v>
      </c>
      <c r="AQ1" s="11" t="s">
        <v>42</v>
      </c>
      <c r="AR1" s="42" t="s">
        <v>179</v>
      </c>
      <c r="AS1" s="42" t="s">
        <v>180</v>
      </c>
      <c r="AT1" s="43" t="s">
        <v>181</v>
      </c>
      <c r="AU1" s="42" t="s">
        <v>182</v>
      </c>
      <c r="AV1" s="59" t="s">
        <v>188</v>
      </c>
      <c r="AW1" s="59" t="s">
        <v>41</v>
      </c>
    </row>
    <row r="2" spans="1:49" x14ac:dyDescent="0.2">
      <c r="A2" s="12">
        <v>1802030864</v>
      </c>
      <c r="B2" s="44">
        <v>1</v>
      </c>
      <c r="C2" s="44">
        <v>47</v>
      </c>
      <c r="D2" s="44">
        <v>2</v>
      </c>
      <c r="E2" s="44">
        <v>2</v>
      </c>
      <c r="F2" s="44">
        <v>1</v>
      </c>
      <c r="G2" s="45">
        <v>27.4</v>
      </c>
      <c r="H2" s="47">
        <v>2</v>
      </c>
      <c r="I2" s="16"/>
      <c r="J2" s="44">
        <v>1</v>
      </c>
      <c r="K2" s="47"/>
      <c r="L2" s="47"/>
      <c r="M2" s="44"/>
      <c r="N2" s="44">
        <v>1</v>
      </c>
      <c r="O2" s="44">
        <v>2</v>
      </c>
      <c r="P2" s="17"/>
      <c r="Q2" s="44">
        <v>2</v>
      </c>
      <c r="R2" s="44">
        <v>2</v>
      </c>
      <c r="S2" s="13">
        <v>2</v>
      </c>
      <c r="T2" s="44"/>
      <c r="U2" s="44"/>
      <c r="V2" s="45"/>
      <c r="W2" s="44"/>
      <c r="X2" s="44"/>
      <c r="Y2" s="47">
        <v>2</v>
      </c>
      <c r="Z2" s="47">
        <v>2</v>
      </c>
      <c r="AA2" s="47">
        <v>2</v>
      </c>
      <c r="AB2" s="47">
        <v>1</v>
      </c>
      <c r="AC2" s="47">
        <v>1</v>
      </c>
      <c r="AD2" s="47"/>
      <c r="AE2" s="47">
        <v>1</v>
      </c>
      <c r="AF2" s="47">
        <v>3</v>
      </c>
      <c r="AG2" s="44"/>
      <c r="AH2" s="44"/>
      <c r="AI2" s="44"/>
      <c r="AJ2" s="44"/>
      <c r="AK2" s="47">
        <v>1</v>
      </c>
      <c r="AL2" s="47"/>
      <c r="AM2" s="47"/>
      <c r="AN2" s="47"/>
      <c r="AO2" s="47"/>
      <c r="AP2" s="47"/>
      <c r="AQ2" s="15">
        <f ca="1">IFERROR(__xludf.DUMMYFUNCTION("IFNA(DATEDIF(AV33, MAX(FILTER(AY33:CN33 ,  AY33:CN33&lt;&gt;"""")), ""m""), """")"),6)</f>
        <v>6</v>
      </c>
      <c r="AR2" s="44" t="s">
        <v>118</v>
      </c>
      <c r="AS2" s="52">
        <v>107</v>
      </c>
      <c r="AT2" s="52"/>
      <c r="AU2" s="44">
        <v>10</v>
      </c>
      <c r="AV2" s="44">
        <v>3</v>
      </c>
    </row>
    <row r="3" spans="1:49" x14ac:dyDescent="0.2">
      <c r="A3" s="30">
        <v>1802333268</v>
      </c>
      <c r="B3" s="33">
        <v>1</v>
      </c>
      <c r="C3" s="33">
        <v>42</v>
      </c>
      <c r="D3" s="33">
        <v>2</v>
      </c>
      <c r="E3" s="33">
        <v>2</v>
      </c>
      <c r="F3" s="33">
        <v>1</v>
      </c>
      <c r="G3" s="36">
        <v>28.8</v>
      </c>
      <c r="H3" s="30">
        <v>2</v>
      </c>
      <c r="I3" s="16"/>
      <c r="J3" s="33">
        <v>1</v>
      </c>
      <c r="K3" s="30"/>
      <c r="L3" s="30"/>
      <c r="M3" s="33"/>
      <c r="N3" s="33">
        <v>1</v>
      </c>
      <c r="O3" s="33">
        <v>2</v>
      </c>
      <c r="P3" s="17"/>
      <c r="Q3" s="33">
        <v>2</v>
      </c>
      <c r="R3" s="33">
        <v>2</v>
      </c>
      <c r="S3" s="13">
        <v>2</v>
      </c>
      <c r="T3" s="33"/>
      <c r="U3" s="33"/>
      <c r="V3" s="36"/>
      <c r="W3" s="33"/>
      <c r="X3" s="33"/>
      <c r="Y3" s="30">
        <v>2</v>
      </c>
      <c r="Z3" s="30">
        <v>1</v>
      </c>
      <c r="AA3" s="30">
        <v>2</v>
      </c>
      <c r="AB3" s="30">
        <v>1</v>
      </c>
      <c r="AC3" s="30">
        <v>1</v>
      </c>
      <c r="AD3" s="30"/>
      <c r="AE3" s="30">
        <v>1</v>
      </c>
      <c r="AF3" s="15">
        <v>3</v>
      </c>
      <c r="AG3" s="33"/>
      <c r="AH3" s="33"/>
      <c r="AI3" s="33"/>
      <c r="AJ3" s="33"/>
      <c r="AK3" s="30">
        <v>1</v>
      </c>
      <c r="AL3" s="30"/>
      <c r="AM3" s="30"/>
      <c r="AN3" s="30"/>
      <c r="AO3" s="30"/>
      <c r="AP3" s="30"/>
      <c r="AQ3" s="15">
        <f ca="1">IFERROR(__xludf.DUMMYFUNCTION("IFNA(DATEDIF(AV47, MAX(FILTER(AY47:CN47 ,  AY47:CN47&lt;&gt;"""")), ""m""), """")"),6)</f>
        <v>6</v>
      </c>
      <c r="AR3" s="33" t="s">
        <v>134</v>
      </c>
      <c r="AS3" s="33" t="s">
        <v>59</v>
      </c>
      <c r="AT3" s="33"/>
      <c r="AU3" s="33">
        <v>197</v>
      </c>
      <c r="AV3" s="33">
        <v>1</v>
      </c>
    </row>
    <row r="4" spans="1:49" x14ac:dyDescent="0.2">
      <c r="A4" s="12">
        <v>1805204979</v>
      </c>
      <c r="B4" s="44">
        <v>1</v>
      </c>
      <c r="C4" s="44">
        <v>69</v>
      </c>
      <c r="D4" s="44">
        <v>2</v>
      </c>
      <c r="E4" s="44">
        <v>2</v>
      </c>
      <c r="F4" s="44">
        <v>1</v>
      </c>
      <c r="G4" s="46">
        <v>45680</v>
      </c>
      <c r="H4" s="47">
        <v>1</v>
      </c>
      <c r="I4" s="16"/>
      <c r="J4" s="44">
        <v>1</v>
      </c>
      <c r="K4" s="47">
        <v>1</v>
      </c>
      <c r="L4" s="47"/>
      <c r="M4" s="46">
        <v>45781</v>
      </c>
      <c r="N4" s="44">
        <v>1</v>
      </c>
      <c r="O4" s="44">
        <v>1</v>
      </c>
      <c r="P4" s="17"/>
      <c r="Q4" s="44">
        <v>1</v>
      </c>
      <c r="R4" s="44">
        <v>1</v>
      </c>
      <c r="S4" s="13">
        <v>1</v>
      </c>
      <c r="T4" s="44">
        <v>82</v>
      </c>
      <c r="U4" s="44">
        <v>45</v>
      </c>
      <c r="V4" s="45">
        <f>(U4/T4)*100</f>
        <v>54.878048780487809</v>
      </c>
      <c r="W4" s="46">
        <v>45779</v>
      </c>
      <c r="X4" s="44">
        <v>2</v>
      </c>
      <c r="Y4" s="47">
        <v>2</v>
      </c>
      <c r="Z4" s="47">
        <v>3</v>
      </c>
      <c r="AA4" s="47">
        <v>2</v>
      </c>
      <c r="AB4" s="47">
        <v>1</v>
      </c>
      <c r="AC4" s="47">
        <v>1</v>
      </c>
      <c r="AD4" s="47"/>
      <c r="AE4" s="47">
        <v>3</v>
      </c>
      <c r="AF4" s="15">
        <v>4</v>
      </c>
      <c r="AG4" s="46">
        <v>45704</v>
      </c>
      <c r="AH4" s="44" t="s">
        <v>63</v>
      </c>
      <c r="AI4" s="44">
        <v>2</v>
      </c>
      <c r="AJ4" s="44" t="s">
        <v>49</v>
      </c>
      <c r="AK4" s="47">
        <v>1</v>
      </c>
      <c r="AL4" s="47">
        <v>150</v>
      </c>
      <c r="AM4" s="44" t="s">
        <v>174</v>
      </c>
      <c r="AN4" s="44" t="s">
        <v>96</v>
      </c>
      <c r="AO4" s="44">
        <v>2</v>
      </c>
      <c r="AP4" s="44">
        <v>12</v>
      </c>
      <c r="AQ4" s="15">
        <f ca="1">IFERROR(__xludf.DUMMYFUNCTION("IFNA(DATEDIF(AV94, MAX(FILTER(AY94:CN94 ,  AY94:CN94&lt;&gt;"""")), ""m""), """")"),27)</f>
        <v>27</v>
      </c>
      <c r="AR4" s="44" t="s">
        <v>65</v>
      </c>
      <c r="AS4" s="44" t="s">
        <v>69</v>
      </c>
      <c r="AT4" s="44">
        <v>2</v>
      </c>
      <c r="AU4" s="46">
        <v>45822</v>
      </c>
      <c r="AV4" s="47">
        <v>1</v>
      </c>
    </row>
    <row r="5" spans="1:49" x14ac:dyDescent="0.2">
      <c r="A5" s="55">
        <v>1803933405</v>
      </c>
      <c r="B5" s="44">
        <v>1</v>
      </c>
      <c r="C5" s="44">
        <v>44</v>
      </c>
      <c r="D5" s="44">
        <v>2</v>
      </c>
      <c r="E5" s="44">
        <v>2</v>
      </c>
      <c r="F5" s="44">
        <v>1</v>
      </c>
      <c r="G5" s="45">
        <v>24.5</v>
      </c>
      <c r="H5" s="47">
        <v>2</v>
      </c>
      <c r="I5" s="16"/>
      <c r="J5" s="44">
        <v>1</v>
      </c>
      <c r="K5" s="47"/>
      <c r="L5" s="47"/>
      <c r="M5" s="44"/>
      <c r="N5" s="44">
        <v>1</v>
      </c>
      <c r="O5" s="44">
        <v>2</v>
      </c>
      <c r="P5" s="17"/>
      <c r="Q5" s="44">
        <v>2</v>
      </c>
      <c r="R5" s="44">
        <v>2</v>
      </c>
      <c r="S5" s="13">
        <v>2</v>
      </c>
      <c r="T5" s="44"/>
      <c r="U5" s="44"/>
      <c r="V5" s="45"/>
      <c r="W5" s="44"/>
      <c r="X5" s="44"/>
      <c r="Y5" s="47">
        <v>2</v>
      </c>
      <c r="Z5" s="47">
        <v>1</v>
      </c>
      <c r="AA5" s="47">
        <v>2</v>
      </c>
      <c r="AB5" s="47">
        <v>1</v>
      </c>
      <c r="AC5" s="47">
        <v>1</v>
      </c>
      <c r="AD5" s="47"/>
      <c r="AE5" s="47">
        <v>1</v>
      </c>
      <c r="AF5" s="47">
        <v>3</v>
      </c>
      <c r="AG5" s="44"/>
      <c r="AH5" s="44"/>
      <c r="AI5" s="44"/>
      <c r="AJ5" s="44"/>
      <c r="AK5" s="47">
        <v>1</v>
      </c>
      <c r="AL5" s="47"/>
      <c r="AM5" s="47"/>
      <c r="AN5" s="47"/>
      <c r="AO5" s="47"/>
      <c r="AP5" s="47"/>
      <c r="AQ5" s="15">
        <f ca="1">IFERROR(__xludf.DUMMYFUNCTION("IFNA(DATEDIF(AV80, MAX(FILTER(AY80:CN80 ,  AY80:CN80&lt;&gt;"""")), ""m""), """")"),29)</f>
        <v>29</v>
      </c>
      <c r="AR5" s="46">
        <v>45909</v>
      </c>
      <c r="AS5" s="44" t="s">
        <v>75</v>
      </c>
      <c r="AT5" s="44"/>
      <c r="AU5" s="44">
        <v>16</v>
      </c>
      <c r="AV5" s="44">
        <v>2</v>
      </c>
    </row>
    <row r="6" spans="1:49" x14ac:dyDescent="0.2">
      <c r="A6" s="12">
        <v>1803064573</v>
      </c>
      <c r="B6" s="33">
        <v>1</v>
      </c>
      <c r="C6" s="33">
        <v>22</v>
      </c>
      <c r="D6" s="33">
        <v>2</v>
      </c>
      <c r="E6" s="33">
        <v>2</v>
      </c>
      <c r="F6" s="33">
        <v>1</v>
      </c>
      <c r="G6" s="36">
        <v>23.2</v>
      </c>
      <c r="H6" s="30">
        <v>2</v>
      </c>
      <c r="I6" s="16"/>
      <c r="J6" s="33">
        <v>1</v>
      </c>
      <c r="K6" s="30">
        <v>1</v>
      </c>
      <c r="L6" s="30"/>
      <c r="M6" s="37">
        <v>45749</v>
      </c>
      <c r="N6" s="33">
        <v>1</v>
      </c>
      <c r="O6" s="33">
        <v>2</v>
      </c>
      <c r="P6" s="17"/>
      <c r="Q6" s="33">
        <v>1</v>
      </c>
      <c r="R6" s="33">
        <v>2</v>
      </c>
      <c r="S6" s="13">
        <v>1</v>
      </c>
      <c r="T6" s="33">
        <v>48</v>
      </c>
      <c r="U6" s="33">
        <v>5</v>
      </c>
      <c r="V6" s="36">
        <f>(U6/T6)*100</f>
        <v>10.416666666666668</v>
      </c>
      <c r="W6" s="33" t="s">
        <v>66</v>
      </c>
      <c r="X6" s="33">
        <v>2</v>
      </c>
      <c r="Y6" s="30">
        <v>2</v>
      </c>
      <c r="Z6" s="30">
        <v>2</v>
      </c>
      <c r="AA6" s="30">
        <v>2</v>
      </c>
      <c r="AB6" s="30">
        <v>1</v>
      </c>
      <c r="AC6" s="30">
        <v>1</v>
      </c>
      <c r="AD6" s="30"/>
      <c r="AE6" s="30">
        <v>2</v>
      </c>
      <c r="AF6" s="15">
        <v>3</v>
      </c>
      <c r="AG6" s="33" t="s">
        <v>45</v>
      </c>
      <c r="AH6" s="33" t="s">
        <v>147</v>
      </c>
      <c r="AI6" s="33">
        <v>2</v>
      </c>
      <c r="AJ6" s="33">
        <v>23</v>
      </c>
      <c r="AK6" s="30">
        <v>1</v>
      </c>
      <c r="AL6" s="30"/>
      <c r="AM6" s="30"/>
      <c r="AN6" s="30"/>
      <c r="AO6" s="30"/>
      <c r="AP6" s="30"/>
      <c r="AQ6" s="15">
        <f ca="1">IFERROR(__xludf.DUMMYFUNCTION("IFNA(DATEDIF(AV65, MAX(FILTER(AY65:CN65 ,  AY65:CN65&lt;&gt;"""")), ""m""), """")"),29)</f>
        <v>29</v>
      </c>
      <c r="AR6" s="33" t="s">
        <v>106</v>
      </c>
      <c r="AS6" s="33" t="s">
        <v>45</v>
      </c>
      <c r="AT6" s="33"/>
      <c r="AU6" s="37">
        <v>45803</v>
      </c>
      <c r="AV6" s="30">
        <v>4</v>
      </c>
    </row>
    <row r="7" spans="1:49" x14ac:dyDescent="0.2">
      <c r="A7" s="12">
        <v>1801921261</v>
      </c>
      <c r="B7" s="44">
        <v>1</v>
      </c>
      <c r="C7" s="44">
        <v>52</v>
      </c>
      <c r="D7" s="44">
        <v>2</v>
      </c>
      <c r="E7" s="44">
        <v>1</v>
      </c>
      <c r="F7" s="44">
        <v>1</v>
      </c>
      <c r="G7" s="46">
        <v>45682</v>
      </c>
      <c r="H7" s="47">
        <v>1</v>
      </c>
      <c r="I7" s="16"/>
      <c r="J7" s="44">
        <v>1</v>
      </c>
      <c r="K7" s="47">
        <v>1</v>
      </c>
      <c r="L7" s="47"/>
      <c r="M7" s="46">
        <v>45809</v>
      </c>
      <c r="N7" s="44">
        <v>1</v>
      </c>
      <c r="O7" s="44">
        <v>1</v>
      </c>
      <c r="P7" s="17"/>
      <c r="Q7" s="44">
        <v>1</v>
      </c>
      <c r="R7" s="44">
        <v>1</v>
      </c>
      <c r="S7" s="13">
        <v>1</v>
      </c>
      <c r="T7" s="44">
        <v>78</v>
      </c>
      <c r="U7" s="44">
        <v>26</v>
      </c>
      <c r="V7" s="45">
        <f>(U7/T7)*100</f>
        <v>33.333333333333329</v>
      </c>
      <c r="W7" s="46">
        <v>45748</v>
      </c>
      <c r="X7" s="44">
        <v>2</v>
      </c>
      <c r="Y7" s="47">
        <v>1</v>
      </c>
      <c r="Z7" s="47">
        <v>1</v>
      </c>
      <c r="AA7" s="47">
        <v>2</v>
      </c>
      <c r="AB7" s="47">
        <v>1</v>
      </c>
      <c r="AC7" s="47">
        <v>2</v>
      </c>
      <c r="AD7" s="47"/>
      <c r="AE7" s="47">
        <v>3</v>
      </c>
      <c r="AF7" s="15">
        <v>4</v>
      </c>
      <c r="AG7" s="44" t="s">
        <v>47</v>
      </c>
      <c r="AH7" s="44" t="s">
        <v>115</v>
      </c>
      <c r="AI7" s="44">
        <v>2</v>
      </c>
      <c r="AJ7" s="44">
        <v>12</v>
      </c>
      <c r="AK7" s="47">
        <v>1</v>
      </c>
      <c r="AL7" s="47">
        <v>150</v>
      </c>
      <c r="AM7" s="47"/>
      <c r="AN7" s="47"/>
      <c r="AO7" s="47"/>
      <c r="AP7" s="47"/>
      <c r="AQ7" s="15">
        <f ca="1">IFERROR(__xludf.DUMMYFUNCTION("IFNA(DATEDIF(AV30, MAX(FILTER(AY30:CN30 ,  AY30:CN30&lt;&gt;"""")), ""m""), """")"),31)</f>
        <v>31</v>
      </c>
      <c r="AR7" s="44" t="s">
        <v>108</v>
      </c>
      <c r="AS7" s="44" t="s">
        <v>55</v>
      </c>
      <c r="AT7" s="44">
        <v>2</v>
      </c>
      <c r="AU7" s="44">
        <v>15</v>
      </c>
      <c r="AV7" s="44">
        <v>4</v>
      </c>
    </row>
    <row r="8" spans="1:49" x14ac:dyDescent="0.2">
      <c r="A8" s="12">
        <v>500785654</v>
      </c>
      <c r="B8" s="44">
        <v>1</v>
      </c>
      <c r="C8" s="44">
        <v>43</v>
      </c>
      <c r="D8" s="44">
        <v>2</v>
      </c>
      <c r="E8" s="44">
        <v>2</v>
      </c>
      <c r="F8" s="44">
        <v>1</v>
      </c>
      <c r="G8" s="46">
        <v>45925</v>
      </c>
      <c r="H8" s="47">
        <v>1</v>
      </c>
      <c r="I8" s="16"/>
      <c r="J8" s="44">
        <v>1</v>
      </c>
      <c r="K8" s="47">
        <v>1</v>
      </c>
      <c r="L8" s="47"/>
      <c r="M8" s="46">
        <v>45718</v>
      </c>
      <c r="N8" s="44">
        <v>1</v>
      </c>
      <c r="O8" s="44">
        <v>1</v>
      </c>
      <c r="P8" s="17"/>
      <c r="Q8" s="44">
        <v>1</v>
      </c>
      <c r="R8" s="44">
        <v>1</v>
      </c>
      <c r="S8" s="13">
        <v>1</v>
      </c>
      <c r="T8" s="44">
        <v>68</v>
      </c>
      <c r="U8" s="44">
        <v>14</v>
      </c>
      <c r="V8" s="45">
        <f>(U8/T8)*100</f>
        <v>20.588235294117645</v>
      </c>
      <c r="W8" s="44" t="s">
        <v>66</v>
      </c>
      <c r="X8" s="44">
        <v>2</v>
      </c>
      <c r="Y8" s="47">
        <v>2</v>
      </c>
      <c r="Z8" s="47">
        <v>2</v>
      </c>
      <c r="AA8" s="47">
        <v>2</v>
      </c>
      <c r="AB8" s="47">
        <v>1</v>
      </c>
      <c r="AC8" s="47">
        <v>2</v>
      </c>
      <c r="AD8" s="44"/>
      <c r="AE8" s="47">
        <v>2</v>
      </c>
      <c r="AF8" s="47">
        <v>3</v>
      </c>
      <c r="AG8" s="44" t="s">
        <v>47</v>
      </c>
      <c r="AH8" s="44" t="s">
        <v>67</v>
      </c>
      <c r="AI8" s="44">
        <v>2</v>
      </c>
      <c r="AJ8" s="44">
        <v>18</v>
      </c>
      <c r="AK8" s="47">
        <v>1</v>
      </c>
      <c r="AL8" s="47">
        <v>150</v>
      </c>
      <c r="AM8" s="47"/>
      <c r="AN8" s="47"/>
      <c r="AO8" s="47"/>
      <c r="AP8" s="47"/>
      <c r="AQ8" s="15">
        <f ca="1">IFERROR(__xludf.DUMMYFUNCTION("IFNA(DATEDIF(AV6, MAX(FILTER(AY6:CN6 ,  AY6:CN6&lt;&gt;"""")), ""m""), """")"),59)</f>
        <v>59</v>
      </c>
      <c r="AR8" s="44" t="s">
        <v>68</v>
      </c>
      <c r="AS8" s="44" t="s">
        <v>45</v>
      </c>
      <c r="AT8" s="44">
        <v>2</v>
      </c>
      <c r="AU8" s="44">
        <v>18</v>
      </c>
      <c r="AV8" s="44">
        <v>1</v>
      </c>
    </row>
    <row r="9" spans="1:49" x14ac:dyDescent="0.2">
      <c r="A9" s="12">
        <v>201979887</v>
      </c>
      <c r="B9" s="44">
        <v>1</v>
      </c>
      <c r="C9" s="44">
        <v>37</v>
      </c>
      <c r="D9" s="44">
        <v>2</v>
      </c>
      <c r="E9" s="44">
        <v>2</v>
      </c>
      <c r="F9" s="44">
        <v>2</v>
      </c>
      <c r="G9" s="46">
        <v>45922</v>
      </c>
      <c r="H9" s="47">
        <v>1</v>
      </c>
      <c r="I9" s="16"/>
      <c r="J9" s="44">
        <v>1</v>
      </c>
      <c r="K9" s="47">
        <v>1</v>
      </c>
      <c r="L9" s="47"/>
      <c r="M9" s="46">
        <v>45781</v>
      </c>
      <c r="N9" s="44">
        <v>3</v>
      </c>
      <c r="O9" s="44">
        <v>2</v>
      </c>
      <c r="P9" s="17"/>
      <c r="Q9" s="44">
        <v>1</v>
      </c>
      <c r="R9" s="44">
        <v>1</v>
      </c>
      <c r="S9" s="13">
        <v>1</v>
      </c>
      <c r="T9" s="44">
        <v>46</v>
      </c>
      <c r="U9" s="44">
        <v>26</v>
      </c>
      <c r="V9" s="45">
        <f>(U9/T9)*100</f>
        <v>56.521739130434781</v>
      </c>
      <c r="W9" s="44" t="s">
        <v>52</v>
      </c>
      <c r="X9" s="44">
        <v>1</v>
      </c>
      <c r="Y9" s="47">
        <v>2</v>
      </c>
      <c r="Z9" s="47">
        <v>4</v>
      </c>
      <c r="AA9" s="47">
        <v>2</v>
      </c>
      <c r="AB9" s="47">
        <v>1</v>
      </c>
      <c r="AC9" s="47">
        <v>1</v>
      </c>
      <c r="AD9" s="47"/>
      <c r="AE9" s="47">
        <v>3</v>
      </c>
      <c r="AF9" s="47">
        <v>4</v>
      </c>
      <c r="AG9" s="44" t="s">
        <v>56</v>
      </c>
      <c r="AH9" s="46">
        <v>45813</v>
      </c>
      <c r="AI9" s="44">
        <v>2</v>
      </c>
      <c r="AJ9" s="44">
        <v>17</v>
      </c>
      <c r="AK9" s="47">
        <v>2</v>
      </c>
      <c r="AL9" s="47">
        <v>200</v>
      </c>
      <c r="AM9" s="47"/>
      <c r="AN9" s="47"/>
      <c r="AO9" s="47"/>
      <c r="AP9" s="47"/>
      <c r="AQ9" s="15">
        <f ca="1">IFERROR(__xludf.DUMMYFUNCTION("IFNA(DATEDIF(AV4, MAX(FILTER(AY4:CN4 ,  AY4:CN4&lt;&gt;"""")), ""m""), """")"),66)</f>
        <v>66</v>
      </c>
      <c r="AR9" s="44" t="s">
        <v>58</v>
      </c>
      <c r="AS9" s="44" t="s">
        <v>57</v>
      </c>
      <c r="AT9" s="44">
        <v>2</v>
      </c>
      <c r="AU9" s="44">
        <v>11</v>
      </c>
      <c r="AV9" s="44">
        <v>3</v>
      </c>
    </row>
    <row r="10" spans="1:49" x14ac:dyDescent="0.2">
      <c r="A10" s="12">
        <v>1803788668</v>
      </c>
      <c r="B10" s="44">
        <v>1</v>
      </c>
      <c r="C10" s="44">
        <v>53</v>
      </c>
      <c r="D10" s="44">
        <v>2</v>
      </c>
      <c r="E10" s="44">
        <v>2</v>
      </c>
      <c r="F10" s="44">
        <v>1</v>
      </c>
      <c r="G10" s="45">
        <v>26.8</v>
      </c>
      <c r="H10" s="47">
        <v>1</v>
      </c>
      <c r="I10" s="16"/>
      <c r="J10" s="44">
        <v>1</v>
      </c>
      <c r="K10" s="47">
        <v>1</v>
      </c>
      <c r="L10" s="47"/>
      <c r="M10" s="46">
        <v>45780</v>
      </c>
      <c r="N10" s="44">
        <v>3</v>
      </c>
      <c r="O10" s="44">
        <v>2</v>
      </c>
      <c r="P10" s="17"/>
      <c r="Q10" s="44">
        <v>1</v>
      </c>
      <c r="R10" s="44">
        <v>1</v>
      </c>
      <c r="S10" s="13">
        <v>1</v>
      </c>
      <c r="T10" s="44">
        <v>90</v>
      </c>
      <c r="U10" s="44">
        <v>35</v>
      </c>
      <c r="V10" s="45">
        <f>(U10/T10)*100</f>
        <v>38.888888888888893</v>
      </c>
      <c r="W10" s="44" t="s">
        <v>125</v>
      </c>
      <c r="X10" s="44">
        <v>2</v>
      </c>
      <c r="Y10" s="47">
        <v>2</v>
      </c>
      <c r="Z10" s="47">
        <v>4</v>
      </c>
      <c r="AA10" s="53">
        <v>0</v>
      </c>
      <c r="AB10" s="47">
        <v>1</v>
      </c>
      <c r="AC10" s="47">
        <v>1</v>
      </c>
      <c r="AD10" s="47"/>
      <c r="AE10" s="47">
        <v>3</v>
      </c>
      <c r="AF10" s="15">
        <v>4</v>
      </c>
      <c r="AG10" s="44" t="s">
        <v>155</v>
      </c>
      <c r="AH10" s="44" t="s">
        <v>156</v>
      </c>
      <c r="AI10" s="48"/>
      <c r="AJ10" s="44"/>
      <c r="AK10" s="47">
        <v>1</v>
      </c>
      <c r="AL10" s="47"/>
      <c r="AM10" s="47"/>
      <c r="AN10" s="47"/>
      <c r="AO10" s="47"/>
      <c r="AP10" s="47"/>
      <c r="AQ10" s="15">
        <f ca="1">IFERROR(__xludf.DUMMYFUNCTION("IFNA(DATEDIF(AV76, MAX(FILTER(AY76:CN76 ,  AY76:CN76&lt;&gt;"""")), ""m""), """")"),6)</f>
        <v>6</v>
      </c>
      <c r="AR10" s="44" t="s">
        <v>68</v>
      </c>
      <c r="AS10" s="44" t="s">
        <v>59</v>
      </c>
      <c r="AT10" s="44"/>
      <c r="AU10" s="44" t="s">
        <v>44</v>
      </c>
      <c r="AV10" s="44">
        <v>1</v>
      </c>
    </row>
    <row r="11" spans="1:49" x14ac:dyDescent="0.2">
      <c r="A11" s="31">
        <v>1802405108</v>
      </c>
      <c r="B11" s="13">
        <v>1</v>
      </c>
      <c r="C11" s="13">
        <v>80</v>
      </c>
      <c r="D11" s="13">
        <v>2</v>
      </c>
      <c r="E11" s="13">
        <v>2</v>
      </c>
      <c r="F11" s="13">
        <v>1</v>
      </c>
      <c r="G11" s="14">
        <v>24.1</v>
      </c>
      <c r="H11" s="15">
        <v>1</v>
      </c>
      <c r="I11" s="16"/>
      <c r="J11" s="13">
        <v>1</v>
      </c>
      <c r="K11" s="15"/>
      <c r="L11" s="15"/>
      <c r="M11" s="13"/>
      <c r="N11" s="13">
        <v>1</v>
      </c>
      <c r="O11" s="13">
        <v>2</v>
      </c>
      <c r="P11" s="17"/>
      <c r="Q11" s="13">
        <v>2</v>
      </c>
      <c r="R11" s="13">
        <v>2</v>
      </c>
      <c r="S11" s="13">
        <v>2</v>
      </c>
      <c r="T11" s="13"/>
      <c r="U11" s="13"/>
      <c r="V11" s="14"/>
      <c r="W11" s="13"/>
      <c r="X11" s="13"/>
      <c r="Y11" s="15">
        <v>2</v>
      </c>
      <c r="Z11" s="15">
        <v>1</v>
      </c>
      <c r="AA11" s="47">
        <v>0</v>
      </c>
      <c r="AB11" s="15">
        <v>1</v>
      </c>
      <c r="AC11" s="15">
        <v>1</v>
      </c>
      <c r="AD11" s="15"/>
      <c r="AE11" s="15">
        <v>1</v>
      </c>
      <c r="AF11" s="15">
        <v>1</v>
      </c>
      <c r="AG11" s="13"/>
      <c r="AH11" s="13"/>
      <c r="AI11" s="13"/>
      <c r="AJ11" s="13"/>
      <c r="AK11" s="15">
        <v>2</v>
      </c>
      <c r="AL11" s="15"/>
      <c r="AM11" s="15"/>
      <c r="AN11" s="15"/>
      <c r="AO11" s="15"/>
      <c r="AP11" s="15"/>
      <c r="AQ11" s="15">
        <f ca="1">IFERROR(__xludf.DUMMYFUNCTION("IFNA(DATEDIF(AV48, MAX(FILTER(AY48:CN48 ,  AY48:CN48&lt;&gt;"""")), ""m""), """")"),12)</f>
        <v>12</v>
      </c>
      <c r="AR11" s="13" t="s">
        <v>126</v>
      </c>
      <c r="AS11" s="13" t="s">
        <v>59</v>
      </c>
      <c r="AT11" s="13"/>
      <c r="AU11" s="13">
        <v>13</v>
      </c>
      <c r="AV11" s="13">
        <v>1</v>
      </c>
    </row>
    <row r="12" spans="1:49" x14ac:dyDescent="0.2">
      <c r="A12" s="30">
        <v>1801258847</v>
      </c>
      <c r="B12" s="44">
        <v>1</v>
      </c>
      <c r="C12" s="44">
        <v>55</v>
      </c>
      <c r="D12" s="44">
        <v>2</v>
      </c>
      <c r="E12" s="44">
        <v>2</v>
      </c>
      <c r="F12" s="44">
        <v>1</v>
      </c>
      <c r="G12" s="45">
        <v>35.5</v>
      </c>
      <c r="H12" s="47">
        <v>1</v>
      </c>
      <c r="I12" s="16"/>
      <c r="J12" s="44">
        <v>1</v>
      </c>
      <c r="K12" s="47"/>
      <c r="L12" s="47"/>
      <c r="M12" s="44"/>
      <c r="N12" s="44">
        <v>1</v>
      </c>
      <c r="O12" s="44">
        <v>2</v>
      </c>
      <c r="P12" s="17"/>
      <c r="Q12" s="44">
        <v>2</v>
      </c>
      <c r="R12" s="44">
        <v>2</v>
      </c>
      <c r="S12" s="13">
        <v>2</v>
      </c>
      <c r="T12" s="44"/>
      <c r="U12" s="44"/>
      <c r="V12" s="45"/>
      <c r="W12" s="44"/>
      <c r="X12" s="44"/>
      <c r="Y12" s="47">
        <v>2</v>
      </c>
      <c r="Z12" s="47">
        <v>1</v>
      </c>
      <c r="AA12" s="47">
        <v>0</v>
      </c>
      <c r="AB12" s="47">
        <v>1</v>
      </c>
      <c r="AC12" s="47">
        <v>1</v>
      </c>
      <c r="AD12" s="47"/>
      <c r="AE12" s="47">
        <v>1</v>
      </c>
      <c r="AF12" s="15">
        <v>1</v>
      </c>
      <c r="AG12" s="44"/>
      <c r="AH12" s="44"/>
      <c r="AI12" s="44"/>
      <c r="AJ12" s="44"/>
      <c r="AK12" s="47">
        <v>2</v>
      </c>
      <c r="AL12" s="47"/>
      <c r="AM12" s="47"/>
      <c r="AN12" s="47"/>
      <c r="AO12" s="47"/>
      <c r="AP12" s="47"/>
      <c r="AQ12" s="15">
        <f ca="1">IFERROR(__xludf.DUMMYFUNCTION("IFNA(DATEDIF(AV19, MAX(FILTER(AY19:CN19 ,  AY19:CN19&lt;&gt;"""")), ""m""), """")"),12)</f>
        <v>12</v>
      </c>
      <c r="AR12" s="44" t="s">
        <v>101</v>
      </c>
      <c r="AS12" s="44" t="s">
        <v>101</v>
      </c>
      <c r="AT12" s="44"/>
      <c r="AU12" s="44" t="s">
        <v>102</v>
      </c>
      <c r="AV12" s="44">
        <v>1</v>
      </c>
    </row>
    <row r="13" spans="1:49" ht="15.75" customHeight="1" x14ac:dyDescent="0.2">
      <c r="A13" s="21">
        <v>1804224721</v>
      </c>
      <c r="B13" s="32">
        <v>1</v>
      </c>
      <c r="C13" s="32">
        <v>31</v>
      </c>
      <c r="D13" s="32"/>
      <c r="E13" s="32"/>
      <c r="F13" s="32"/>
      <c r="G13" s="32"/>
      <c r="H13" s="40">
        <v>2</v>
      </c>
      <c r="I13" s="21"/>
      <c r="J13" s="32">
        <v>1</v>
      </c>
      <c r="K13" s="40"/>
      <c r="L13" s="40"/>
      <c r="M13" s="32"/>
      <c r="N13" s="32"/>
      <c r="O13" s="32">
        <v>1</v>
      </c>
      <c r="P13" s="20"/>
      <c r="Q13" s="32"/>
      <c r="R13" s="32"/>
      <c r="S13" s="13">
        <v>2</v>
      </c>
      <c r="T13" s="32"/>
      <c r="U13" s="32"/>
      <c r="V13" s="35"/>
      <c r="W13" s="32"/>
      <c r="X13" s="32"/>
      <c r="Y13" s="40"/>
      <c r="Z13" s="40">
        <v>1</v>
      </c>
      <c r="AA13" s="40">
        <v>1</v>
      </c>
      <c r="AB13" s="40"/>
      <c r="AC13" s="40"/>
      <c r="AD13" s="40"/>
      <c r="AE13" s="40">
        <v>1</v>
      </c>
      <c r="AF13" s="40">
        <v>2</v>
      </c>
      <c r="AG13" s="32"/>
      <c r="AH13" s="32"/>
      <c r="AI13" s="32"/>
      <c r="AJ13" s="32"/>
      <c r="AK13" s="40"/>
      <c r="AL13" s="40"/>
      <c r="AM13" s="40"/>
      <c r="AN13" s="40"/>
      <c r="AO13" s="40"/>
      <c r="AP13" s="40"/>
      <c r="AQ13" s="15">
        <f ca="1">IFERROR(__xludf.DUMMYFUNCTION("IFNA(DATEDIF(AV87, MAX(FILTER(AY87:CN87 ,  AY87:CN87&lt;&gt;"""")), ""m""), """")"),15)</f>
        <v>15</v>
      </c>
      <c r="AR13" s="32"/>
      <c r="AS13" s="32"/>
      <c r="AT13" s="32"/>
      <c r="AU13" s="32"/>
      <c r="AV13" s="40">
        <v>1</v>
      </c>
    </row>
    <row r="14" spans="1:49" ht="15.75" customHeight="1" x14ac:dyDescent="0.2">
      <c r="A14" s="23">
        <v>1802811909</v>
      </c>
      <c r="B14" s="44">
        <v>1</v>
      </c>
      <c r="C14" s="44">
        <v>52</v>
      </c>
      <c r="D14" s="44">
        <v>2</v>
      </c>
      <c r="E14" s="44">
        <v>2</v>
      </c>
      <c r="F14" s="44">
        <v>2</v>
      </c>
      <c r="G14" s="45">
        <v>32</v>
      </c>
      <c r="H14" s="47">
        <v>1</v>
      </c>
      <c r="I14" s="16"/>
      <c r="J14" s="44">
        <v>2</v>
      </c>
      <c r="K14" s="47"/>
      <c r="L14" s="47">
        <v>3</v>
      </c>
      <c r="M14" s="44"/>
      <c r="N14" s="44">
        <v>1</v>
      </c>
      <c r="O14" s="44">
        <v>2</v>
      </c>
      <c r="P14" s="17"/>
      <c r="Q14" s="44">
        <v>2</v>
      </c>
      <c r="R14" s="44">
        <v>2</v>
      </c>
      <c r="S14" s="13">
        <v>1</v>
      </c>
      <c r="T14" s="44"/>
      <c r="U14" s="44">
        <v>1</v>
      </c>
      <c r="V14" s="45"/>
      <c r="W14" s="44"/>
      <c r="X14" s="44"/>
      <c r="Y14" s="47">
        <v>2</v>
      </c>
      <c r="Z14" s="47">
        <v>1</v>
      </c>
      <c r="AA14" s="47">
        <v>3</v>
      </c>
      <c r="AB14" s="47">
        <v>1</v>
      </c>
      <c r="AC14" s="47">
        <v>1</v>
      </c>
      <c r="AD14" s="47"/>
      <c r="AE14" s="47">
        <v>3</v>
      </c>
      <c r="AF14" s="15">
        <v>4</v>
      </c>
      <c r="AG14" s="44"/>
      <c r="AH14" s="44"/>
      <c r="AI14" s="44"/>
      <c r="AJ14" s="44"/>
      <c r="AK14" s="47">
        <v>2</v>
      </c>
      <c r="AL14" s="47"/>
      <c r="AM14" s="47"/>
      <c r="AN14" s="47"/>
      <c r="AO14" s="47"/>
      <c r="AP14" s="47"/>
      <c r="AQ14" s="15">
        <f ca="1">IFERROR(__xludf.DUMMYFUNCTION("IFNA(DATEDIF(AV60, MAX(FILTER(AY60:CN60 ,  AY60:CN60&lt;&gt;"""")), ""m""), """")"),16)</f>
        <v>16</v>
      </c>
      <c r="AR14" s="44" t="s">
        <v>142</v>
      </c>
      <c r="AS14" s="44" t="s">
        <v>59</v>
      </c>
      <c r="AT14" s="44"/>
      <c r="AU14" s="44">
        <v>10</v>
      </c>
      <c r="AV14" s="32">
        <v>1</v>
      </c>
    </row>
    <row r="15" spans="1:49" ht="15.75" customHeight="1" x14ac:dyDescent="0.2">
      <c r="A15" s="12">
        <v>1803870078</v>
      </c>
      <c r="B15" s="44">
        <v>1</v>
      </c>
      <c r="C15" s="44">
        <v>39</v>
      </c>
      <c r="D15" s="44">
        <v>2</v>
      </c>
      <c r="E15" s="44">
        <v>2</v>
      </c>
      <c r="F15" s="44">
        <v>1</v>
      </c>
      <c r="G15" s="46">
        <v>45925</v>
      </c>
      <c r="H15" s="47">
        <v>1</v>
      </c>
      <c r="I15" s="16"/>
      <c r="J15" s="44">
        <v>1</v>
      </c>
      <c r="K15" s="47">
        <v>7</v>
      </c>
      <c r="L15" s="47"/>
      <c r="M15" s="44">
        <v>1.5</v>
      </c>
      <c r="N15" s="44">
        <v>2</v>
      </c>
      <c r="O15" s="44">
        <v>1</v>
      </c>
      <c r="P15" s="17"/>
      <c r="Q15" s="44">
        <v>1</v>
      </c>
      <c r="R15" s="44">
        <v>1</v>
      </c>
      <c r="S15" s="13">
        <v>2</v>
      </c>
      <c r="T15" s="44"/>
      <c r="U15" s="44"/>
      <c r="V15" s="45"/>
      <c r="W15" s="44"/>
      <c r="X15" s="44"/>
      <c r="Y15" s="47">
        <v>2</v>
      </c>
      <c r="Z15" s="47">
        <v>1</v>
      </c>
      <c r="AA15" s="47">
        <v>0</v>
      </c>
      <c r="AB15" s="47">
        <v>1</v>
      </c>
      <c r="AC15" s="47">
        <v>1</v>
      </c>
      <c r="AD15" s="47"/>
      <c r="AE15" s="47">
        <v>2</v>
      </c>
      <c r="AF15" s="15">
        <v>3</v>
      </c>
      <c r="AG15" s="46">
        <v>45870</v>
      </c>
      <c r="AH15" s="44">
        <v>0.7</v>
      </c>
      <c r="AI15" s="44">
        <v>2</v>
      </c>
      <c r="AJ15" s="44">
        <v>17</v>
      </c>
      <c r="AK15" s="47">
        <v>1</v>
      </c>
      <c r="AL15" s="54">
        <v>100</v>
      </c>
      <c r="AM15" s="44">
        <v>89.7</v>
      </c>
      <c r="AN15" s="44" t="s">
        <v>96</v>
      </c>
      <c r="AO15" s="44">
        <v>2</v>
      </c>
      <c r="AP15" s="44">
        <v>26.5</v>
      </c>
      <c r="AQ15" s="15">
        <f ca="1">IFERROR(__xludf.DUMMYFUNCTION("IFNA(DATEDIF(AV78, MAX(FILTER(AY78:CN78 ,  AY78:CN78&lt;&gt;"""")), ""m""), """")"),18)</f>
        <v>18</v>
      </c>
      <c r="AR15" s="44">
        <v>0.17</v>
      </c>
      <c r="AS15" s="44">
        <v>0.01</v>
      </c>
      <c r="AT15" s="44">
        <v>2</v>
      </c>
      <c r="AU15" s="44" t="s">
        <v>49</v>
      </c>
      <c r="AV15" s="44">
        <v>1</v>
      </c>
    </row>
    <row r="16" spans="1:49" ht="15.75" customHeight="1" x14ac:dyDescent="0.2">
      <c r="A16" s="12">
        <v>1850708288</v>
      </c>
      <c r="B16" s="13">
        <v>1</v>
      </c>
      <c r="C16" s="13">
        <v>49</v>
      </c>
      <c r="D16" s="13">
        <v>2</v>
      </c>
      <c r="E16" s="13">
        <v>2</v>
      </c>
      <c r="F16" s="13">
        <v>1</v>
      </c>
      <c r="G16" s="13">
        <v>27.2</v>
      </c>
      <c r="H16" s="15">
        <v>1</v>
      </c>
      <c r="I16" s="16"/>
      <c r="J16" s="13">
        <v>1</v>
      </c>
      <c r="K16" s="15">
        <v>1</v>
      </c>
      <c r="L16" s="15"/>
      <c r="M16" s="13">
        <v>2.2999999999999998</v>
      </c>
      <c r="N16" s="13">
        <v>2</v>
      </c>
      <c r="O16" s="13">
        <v>2</v>
      </c>
      <c r="P16" s="17"/>
      <c r="Q16" s="13">
        <v>1</v>
      </c>
      <c r="R16" s="13">
        <v>2</v>
      </c>
      <c r="S16" s="13">
        <v>1</v>
      </c>
      <c r="T16" s="13">
        <v>12</v>
      </c>
      <c r="U16" s="13">
        <v>4</v>
      </c>
      <c r="V16" s="14">
        <f>(U16/T16)*100</f>
        <v>33.333333333333329</v>
      </c>
      <c r="W16" s="13" t="s">
        <v>66</v>
      </c>
      <c r="X16" s="13">
        <v>2</v>
      </c>
      <c r="Y16" s="15">
        <v>2</v>
      </c>
      <c r="Z16" s="15">
        <v>2</v>
      </c>
      <c r="AA16" s="15">
        <v>0</v>
      </c>
      <c r="AB16" s="15">
        <v>1</v>
      </c>
      <c r="AC16" s="15">
        <v>1</v>
      </c>
      <c r="AD16" s="15"/>
      <c r="AE16" s="15">
        <v>2</v>
      </c>
      <c r="AF16" s="15">
        <v>3</v>
      </c>
      <c r="AG16" s="13">
        <v>0.1</v>
      </c>
      <c r="AH16" s="13">
        <v>0.9</v>
      </c>
      <c r="AI16" s="13">
        <v>2</v>
      </c>
      <c r="AJ16" s="13">
        <v>10.85</v>
      </c>
      <c r="AK16" s="15">
        <v>1</v>
      </c>
      <c r="AL16" s="15">
        <v>100</v>
      </c>
      <c r="AM16" s="15">
        <v>82.3</v>
      </c>
      <c r="AN16" s="15">
        <v>2.5</v>
      </c>
      <c r="AO16" s="15">
        <v>2</v>
      </c>
      <c r="AP16" s="15">
        <v>18.7</v>
      </c>
      <c r="AQ16" s="15">
        <f ca="1">IFERROR(__xludf.DUMMYFUNCTION("IFNA(DATEDIF(AV99, MAX(FILTER(AY99:CN99 ,  AY99:CN99&lt;&gt;"""")), ""m""), """")"),18)</f>
        <v>18</v>
      </c>
      <c r="AR16" s="13">
        <v>0.34</v>
      </c>
      <c r="AS16" s="13">
        <v>0.1</v>
      </c>
      <c r="AT16" s="13">
        <v>2</v>
      </c>
      <c r="AU16" s="13" t="s">
        <v>49</v>
      </c>
      <c r="AV16" s="15">
        <v>1</v>
      </c>
    </row>
    <row r="17" spans="1:48" ht="15.75" customHeight="1" x14ac:dyDescent="0.2">
      <c r="A17" s="12">
        <v>1803429230</v>
      </c>
      <c r="B17" s="44">
        <v>2</v>
      </c>
      <c r="C17" s="44">
        <v>20</v>
      </c>
      <c r="D17" s="44">
        <v>2</v>
      </c>
      <c r="E17" s="44">
        <v>2</v>
      </c>
      <c r="F17" s="44">
        <v>1</v>
      </c>
      <c r="G17" s="45">
        <v>22.4</v>
      </c>
      <c r="H17" s="47">
        <v>2</v>
      </c>
      <c r="I17" s="16"/>
      <c r="J17" s="44">
        <v>1</v>
      </c>
      <c r="K17" s="47">
        <v>1</v>
      </c>
      <c r="L17" s="47"/>
      <c r="M17" s="46">
        <v>45780</v>
      </c>
      <c r="N17" s="44">
        <v>3</v>
      </c>
      <c r="O17" s="44">
        <v>2</v>
      </c>
      <c r="P17" s="17"/>
      <c r="Q17" s="44">
        <v>1</v>
      </c>
      <c r="R17" s="44">
        <v>1</v>
      </c>
      <c r="S17" s="13">
        <v>1</v>
      </c>
      <c r="T17" s="44">
        <v>10</v>
      </c>
      <c r="U17" s="44">
        <v>5</v>
      </c>
      <c r="V17" s="45">
        <f>(U17/T17)*100</f>
        <v>50</v>
      </c>
      <c r="W17" s="44" t="s">
        <v>66</v>
      </c>
      <c r="X17" s="44">
        <v>2</v>
      </c>
      <c r="Y17" s="47">
        <v>2</v>
      </c>
      <c r="Z17" s="47">
        <v>3</v>
      </c>
      <c r="AA17" s="47">
        <v>1</v>
      </c>
      <c r="AB17" s="47">
        <v>1</v>
      </c>
      <c r="AC17" s="47">
        <v>1</v>
      </c>
      <c r="AD17" s="47"/>
      <c r="AE17" s="47">
        <v>2</v>
      </c>
      <c r="AF17" s="15">
        <v>3</v>
      </c>
      <c r="AG17" s="44" t="s">
        <v>149</v>
      </c>
      <c r="AH17" s="44" t="s">
        <v>150</v>
      </c>
      <c r="AI17" s="44">
        <v>2</v>
      </c>
      <c r="AJ17" s="44" t="s">
        <v>151</v>
      </c>
      <c r="AK17" s="47">
        <v>1</v>
      </c>
      <c r="AL17" s="47"/>
      <c r="AM17" s="47"/>
      <c r="AN17" s="47"/>
      <c r="AO17" s="47"/>
      <c r="AP17" s="47"/>
      <c r="AQ17" s="15">
        <f ca="1">IFERROR(__xludf.DUMMYFUNCTION("IFNA(DATEDIF(AV69, MAX(FILTER(AY69:CN69 ,  AY69:CN69&lt;&gt;"""")), ""m""), """")"),19)</f>
        <v>19</v>
      </c>
      <c r="AR17" s="44" t="s">
        <v>69</v>
      </c>
      <c r="AS17" s="44" t="s">
        <v>71</v>
      </c>
      <c r="AT17" s="44"/>
      <c r="AU17" s="44" t="s">
        <v>103</v>
      </c>
      <c r="AV17" s="47">
        <v>2</v>
      </c>
    </row>
    <row r="18" spans="1:48" ht="15.75" customHeight="1" x14ac:dyDescent="0.2">
      <c r="A18" s="12">
        <v>1802123529</v>
      </c>
      <c r="B18" s="44">
        <v>1</v>
      </c>
      <c r="C18" s="44">
        <v>51</v>
      </c>
      <c r="D18" s="44">
        <v>2</v>
      </c>
      <c r="E18" s="44">
        <v>2</v>
      </c>
      <c r="F18" s="44">
        <v>2</v>
      </c>
      <c r="G18" s="45">
        <v>20.8</v>
      </c>
      <c r="H18" s="47">
        <v>1</v>
      </c>
      <c r="I18" s="16"/>
      <c r="J18" s="44">
        <v>1</v>
      </c>
      <c r="K18" s="47"/>
      <c r="L18" s="47"/>
      <c r="M18" s="44"/>
      <c r="N18" s="44">
        <v>1</v>
      </c>
      <c r="O18" s="44">
        <v>2</v>
      </c>
      <c r="P18" s="17"/>
      <c r="Q18" s="44">
        <v>2</v>
      </c>
      <c r="R18" s="44">
        <v>2</v>
      </c>
      <c r="S18" s="13">
        <v>2</v>
      </c>
      <c r="T18" s="44"/>
      <c r="U18" s="44"/>
      <c r="V18" s="45"/>
      <c r="W18" s="44"/>
      <c r="X18" s="44"/>
      <c r="Y18" s="47">
        <v>2</v>
      </c>
      <c r="Z18" s="47">
        <v>1</v>
      </c>
      <c r="AA18" s="47">
        <v>0</v>
      </c>
      <c r="AB18" s="47">
        <v>1</v>
      </c>
      <c r="AC18" s="47">
        <v>1</v>
      </c>
      <c r="AD18" s="47"/>
      <c r="AE18" s="47">
        <v>1</v>
      </c>
      <c r="AF18" s="15">
        <v>1</v>
      </c>
      <c r="AG18" s="44"/>
      <c r="AH18" s="44"/>
      <c r="AI18" s="44"/>
      <c r="AJ18" s="44"/>
      <c r="AK18" s="47">
        <v>2</v>
      </c>
      <c r="AL18" s="47"/>
      <c r="AM18" s="47"/>
      <c r="AN18" s="47"/>
      <c r="AO18" s="47"/>
      <c r="AP18" s="47"/>
      <c r="AQ18" s="15">
        <f ca="1">IFERROR(__xludf.DUMMYFUNCTION("IFNA(DATEDIF(AV39, MAX(FILTER(AY39:CN39 ,  AY39:CN39&lt;&gt;"""")), ""m""), """")"),20)</f>
        <v>20</v>
      </c>
      <c r="AR18" s="44" t="s">
        <v>63</v>
      </c>
      <c r="AS18" s="44" t="s">
        <v>110</v>
      </c>
      <c r="AT18" s="44"/>
      <c r="AU18" s="44">
        <v>17</v>
      </c>
      <c r="AV18" s="44">
        <v>1</v>
      </c>
    </row>
    <row r="19" spans="1:48" ht="15.75" customHeight="1" x14ac:dyDescent="0.2">
      <c r="A19" s="12">
        <v>1804047015</v>
      </c>
      <c r="B19" s="44">
        <v>1</v>
      </c>
      <c r="C19" s="44">
        <v>20</v>
      </c>
      <c r="D19" s="44">
        <v>2</v>
      </c>
      <c r="E19" s="44">
        <v>2</v>
      </c>
      <c r="F19" s="44">
        <v>1</v>
      </c>
      <c r="G19" s="46">
        <v>45738</v>
      </c>
      <c r="H19" s="47">
        <v>2</v>
      </c>
      <c r="I19" s="16"/>
      <c r="J19" s="44">
        <v>1</v>
      </c>
      <c r="K19" s="47">
        <v>1</v>
      </c>
      <c r="L19" s="47"/>
      <c r="M19" s="44" t="s">
        <v>74</v>
      </c>
      <c r="N19" s="44">
        <v>1</v>
      </c>
      <c r="O19" s="44">
        <v>1</v>
      </c>
      <c r="P19" s="17"/>
      <c r="Q19" s="44">
        <v>2</v>
      </c>
      <c r="R19" s="44">
        <v>2</v>
      </c>
      <c r="S19" s="13">
        <v>2</v>
      </c>
      <c r="T19" s="44"/>
      <c r="U19" s="44"/>
      <c r="V19" s="45"/>
      <c r="W19" s="44"/>
      <c r="X19" s="44"/>
      <c r="Y19" s="47">
        <v>2</v>
      </c>
      <c r="Z19" s="47">
        <v>1</v>
      </c>
      <c r="AA19" s="47">
        <v>0</v>
      </c>
      <c r="AB19" s="47">
        <v>1</v>
      </c>
      <c r="AC19" s="47">
        <v>1</v>
      </c>
      <c r="AD19" s="44"/>
      <c r="AE19" s="47">
        <v>1</v>
      </c>
      <c r="AF19" s="47">
        <v>1</v>
      </c>
      <c r="AG19" s="46">
        <v>45749</v>
      </c>
      <c r="AH19" s="44"/>
      <c r="AI19" s="44"/>
      <c r="AJ19" s="44"/>
      <c r="AK19" s="47">
        <v>2</v>
      </c>
      <c r="AL19" s="47"/>
      <c r="AM19" s="47"/>
      <c r="AN19" s="47"/>
      <c r="AO19" s="47"/>
      <c r="AP19" s="47"/>
      <c r="AQ19" s="15">
        <f ca="1">IFERROR(__xludf.DUMMYFUNCTION("IFNA(DATEDIF(AV83, MAX(FILTER(AY83:CN83 ,  AY83:CN83&lt;&gt;"""")), ""m""), """")"),20)</f>
        <v>20</v>
      </c>
      <c r="AR19" s="44" t="s">
        <v>161</v>
      </c>
      <c r="AS19" s="44"/>
      <c r="AT19" s="44"/>
      <c r="AU19" s="44"/>
      <c r="AV19" s="44">
        <v>1</v>
      </c>
    </row>
    <row r="20" spans="1:48" ht="15.75" customHeight="1" x14ac:dyDescent="0.2">
      <c r="A20" s="12">
        <v>1804526703</v>
      </c>
      <c r="B20" s="13">
        <v>2</v>
      </c>
      <c r="C20" s="13">
        <v>57</v>
      </c>
      <c r="D20" s="13">
        <v>2</v>
      </c>
      <c r="E20" s="13">
        <v>2</v>
      </c>
      <c r="F20" s="13">
        <v>2</v>
      </c>
      <c r="G20" s="13" t="s">
        <v>170</v>
      </c>
      <c r="H20" s="15">
        <v>2</v>
      </c>
      <c r="I20" s="16"/>
      <c r="J20" s="13">
        <v>1</v>
      </c>
      <c r="K20" s="15">
        <v>1</v>
      </c>
      <c r="L20" s="15"/>
      <c r="M20" s="13" t="s">
        <v>62</v>
      </c>
      <c r="N20" s="13">
        <v>1</v>
      </c>
      <c r="O20" s="13">
        <v>1</v>
      </c>
      <c r="P20" s="17"/>
      <c r="Q20" s="13">
        <v>2</v>
      </c>
      <c r="R20" s="13">
        <v>2</v>
      </c>
      <c r="S20" s="13">
        <v>1</v>
      </c>
      <c r="T20" s="13">
        <v>1</v>
      </c>
      <c r="U20" s="13">
        <v>1</v>
      </c>
      <c r="V20" s="14">
        <f>(U20/T20)*100</f>
        <v>100</v>
      </c>
      <c r="W20" s="13" t="s">
        <v>78</v>
      </c>
      <c r="X20" s="13">
        <v>2</v>
      </c>
      <c r="Y20" s="15">
        <v>1</v>
      </c>
      <c r="Z20" s="15">
        <v>1</v>
      </c>
      <c r="AA20" s="15">
        <v>1</v>
      </c>
      <c r="AB20" s="15">
        <v>1</v>
      </c>
      <c r="AC20" s="15">
        <v>1</v>
      </c>
      <c r="AD20" s="15"/>
      <c r="AE20" s="15">
        <v>1</v>
      </c>
      <c r="AF20" s="15">
        <v>1</v>
      </c>
      <c r="AG20" s="13" t="s">
        <v>171</v>
      </c>
      <c r="AH20" s="13"/>
      <c r="AI20" s="13"/>
      <c r="AJ20" s="13"/>
      <c r="AK20" s="15">
        <v>2</v>
      </c>
      <c r="AL20" s="15"/>
      <c r="AM20" s="15"/>
      <c r="AN20" s="15"/>
      <c r="AO20" s="15"/>
      <c r="AP20" s="15"/>
      <c r="AQ20" s="15">
        <f ca="1">IFERROR(__xludf.DUMMYFUNCTION("IFNA(DATEDIF(AV89, MAX(FILTER(AY89:CN89 ,  AY89:CN89&lt;&gt;"""")), ""m""), """")"),20)</f>
        <v>20</v>
      </c>
      <c r="AR20" s="13" t="s">
        <v>172</v>
      </c>
      <c r="AS20" s="13"/>
      <c r="AT20" s="13"/>
      <c r="AU20" s="13"/>
      <c r="AV20" s="13">
        <v>1</v>
      </c>
    </row>
    <row r="21" spans="1:48" ht="15.75" customHeight="1" x14ac:dyDescent="0.2">
      <c r="A21" s="55">
        <v>1802794931</v>
      </c>
      <c r="B21" s="34">
        <v>1</v>
      </c>
      <c r="C21" s="34">
        <v>54</v>
      </c>
      <c r="D21" s="34"/>
      <c r="E21" s="34"/>
      <c r="F21" s="34"/>
      <c r="G21" s="39"/>
      <c r="H21" s="41">
        <v>1</v>
      </c>
      <c r="I21" s="26"/>
      <c r="J21" s="34">
        <v>1</v>
      </c>
      <c r="K21" s="41"/>
      <c r="L21" s="41"/>
      <c r="M21" s="34"/>
      <c r="N21" s="34"/>
      <c r="O21" s="34"/>
      <c r="P21" s="25"/>
      <c r="Q21" s="34"/>
      <c r="R21" s="34"/>
      <c r="S21" s="13">
        <v>2</v>
      </c>
      <c r="T21" s="34"/>
      <c r="U21" s="34"/>
      <c r="V21" s="39"/>
      <c r="W21" s="34"/>
      <c r="X21" s="34"/>
      <c r="Y21" s="41"/>
      <c r="Z21" s="41">
        <v>1</v>
      </c>
      <c r="AA21" s="41">
        <v>0</v>
      </c>
      <c r="AB21" s="41"/>
      <c r="AC21" s="41"/>
      <c r="AD21" s="41"/>
      <c r="AE21" s="47">
        <v>1</v>
      </c>
      <c r="AF21" s="47">
        <v>1</v>
      </c>
      <c r="AG21" s="34"/>
      <c r="AH21" s="34"/>
      <c r="AI21" s="34"/>
      <c r="AJ21" s="34"/>
      <c r="AK21" s="41"/>
      <c r="AL21" s="41"/>
      <c r="AM21" s="41"/>
      <c r="AN21" s="41"/>
      <c r="AO21" s="41"/>
      <c r="AP21" s="41"/>
      <c r="AQ21" s="15">
        <f ca="1">IFERROR(__xludf.DUMMYFUNCTION("IFNA(DATEDIF(AV59, MAX(FILTER(AY59:CN59 ,  AY59:CN59&lt;&gt;"""")), ""m""), """")"),20)</f>
        <v>20</v>
      </c>
      <c r="AR21" s="34"/>
      <c r="AS21" s="34"/>
      <c r="AT21" s="34"/>
      <c r="AU21" s="34"/>
      <c r="AV21" s="41">
        <v>1</v>
      </c>
    </row>
    <row r="22" spans="1:48" ht="15.75" customHeight="1" x14ac:dyDescent="0.2">
      <c r="A22" s="23">
        <v>1803930286</v>
      </c>
      <c r="B22" s="44">
        <v>1</v>
      </c>
      <c r="C22" s="44">
        <v>35</v>
      </c>
      <c r="D22" s="44">
        <v>2</v>
      </c>
      <c r="E22" s="44">
        <v>2</v>
      </c>
      <c r="F22" s="44">
        <v>1</v>
      </c>
      <c r="G22" s="45" t="s">
        <v>158</v>
      </c>
      <c r="H22" s="47">
        <v>1</v>
      </c>
      <c r="I22" s="16"/>
      <c r="J22" s="44">
        <v>1</v>
      </c>
      <c r="K22" s="47"/>
      <c r="L22" s="47"/>
      <c r="M22" s="44"/>
      <c r="N22" s="44">
        <v>1</v>
      </c>
      <c r="O22" s="44">
        <v>2</v>
      </c>
      <c r="P22" s="17"/>
      <c r="Q22" s="44">
        <v>2</v>
      </c>
      <c r="R22" s="44">
        <v>2</v>
      </c>
      <c r="S22" s="13">
        <v>1</v>
      </c>
      <c r="T22" s="44"/>
      <c r="U22" s="44">
        <v>2</v>
      </c>
      <c r="V22" s="45"/>
      <c r="W22" s="44"/>
      <c r="X22" s="44"/>
      <c r="Y22" s="47">
        <v>2</v>
      </c>
      <c r="Z22" s="47">
        <v>1</v>
      </c>
      <c r="AA22" s="47">
        <v>1</v>
      </c>
      <c r="AB22" s="47">
        <v>1</v>
      </c>
      <c r="AC22" s="47">
        <v>1</v>
      </c>
      <c r="AD22" s="47"/>
      <c r="AE22" s="47">
        <v>1</v>
      </c>
      <c r="AF22" s="47">
        <v>1</v>
      </c>
      <c r="AG22" s="44"/>
      <c r="AH22" s="44"/>
      <c r="AI22" s="44"/>
      <c r="AJ22" s="44"/>
      <c r="AK22" s="47">
        <v>2</v>
      </c>
      <c r="AL22" s="47"/>
      <c r="AM22" s="47"/>
      <c r="AN22" s="47"/>
      <c r="AO22" s="47"/>
      <c r="AP22" s="47"/>
      <c r="AQ22" s="15">
        <f ca="1">IFERROR(__xludf.DUMMYFUNCTION("IFNA(DATEDIF(AV79, MAX(FILTER(AY79:CN79 ,  AY79:CN79&lt;&gt;"""")), ""m""), """")"),21)</f>
        <v>21</v>
      </c>
      <c r="AR22" s="46">
        <v>45658</v>
      </c>
      <c r="AS22" s="44" t="s">
        <v>159</v>
      </c>
      <c r="AT22" s="44"/>
      <c r="AU22" s="44">
        <v>10</v>
      </c>
      <c r="AV22" s="44">
        <v>2</v>
      </c>
    </row>
    <row r="23" spans="1:48" ht="15.75" customHeight="1" x14ac:dyDescent="0.2">
      <c r="A23" s="21">
        <v>1003354345</v>
      </c>
      <c r="B23" s="32">
        <v>1</v>
      </c>
      <c r="C23" s="32">
        <v>57</v>
      </c>
      <c r="D23" s="32">
        <v>2</v>
      </c>
      <c r="E23" s="32">
        <v>2</v>
      </c>
      <c r="F23" s="32">
        <v>2</v>
      </c>
      <c r="G23" s="32">
        <v>38.799999999999997</v>
      </c>
      <c r="H23" s="40">
        <v>1</v>
      </c>
      <c r="I23" s="21"/>
      <c r="J23" s="32">
        <v>1</v>
      </c>
      <c r="K23" s="40">
        <v>1</v>
      </c>
      <c r="L23" s="40"/>
      <c r="M23" s="32"/>
      <c r="N23" s="32">
        <v>1</v>
      </c>
      <c r="O23" s="32">
        <v>1</v>
      </c>
      <c r="P23" s="20"/>
      <c r="Q23" s="32">
        <v>1</v>
      </c>
      <c r="R23" s="32">
        <v>2</v>
      </c>
      <c r="S23" s="13">
        <v>2</v>
      </c>
      <c r="T23" s="32"/>
      <c r="U23" s="32"/>
      <c r="V23" s="35"/>
      <c r="W23" s="32"/>
      <c r="X23" s="32"/>
      <c r="Y23" s="40">
        <v>2</v>
      </c>
      <c r="Z23" s="40">
        <v>1</v>
      </c>
      <c r="AA23" s="40">
        <v>0</v>
      </c>
      <c r="AB23" s="40">
        <v>1</v>
      </c>
      <c r="AC23" s="40">
        <v>1</v>
      </c>
      <c r="AD23" s="40"/>
      <c r="AE23" s="40">
        <v>2</v>
      </c>
      <c r="AF23" s="15">
        <v>3</v>
      </c>
      <c r="AG23" s="32" t="s">
        <v>88</v>
      </c>
      <c r="AH23" s="32" t="s">
        <v>56</v>
      </c>
      <c r="AI23" s="32"/>
      <c r="AJ23" s="32"/>
      <c r="AK23" s="40">
        <v>2</v>
      </c>
      <c r="AL23" s="40"/>
      <c r="AM23" s="40"/>
      <c r="AN23" s="40"/>
      <c r="AO23" s="40"/>
      <c r="AP23" s="40"/>
      <c r="AQ23" s="15">
        <f ca="1">IFERROR(__xludf.DUMMYFUNCTION("IFNA(DATEDIF(AV14, MAX(FILTER(AY14:CN14 ,  AY14:CN14&lt;&gt;"""")), ""m""), """")"),21)</f>
        <v>21</v>
      </c>
      <c r="AR23" s="32" t="s">
        <v>90</v>
      </c>
      <c r="AS23" s="32" t="s">
        <v>89</v>
      </c>
      <c r="AT23" s="32"/>
      <c r="AU23" s="32" t="s">
        <v>49</v>
      </c>
      <c r="AV23" s="32">
        <v>1</v>
      </c>
    </row>
    <row r="24" spans="1:48" ht="15.75" customHeight="1" x14ac:dyDescent="0.2">
      <c r="A24" s="12">
        <v>1801798354</v>
      </c>
      <c r="B24" s="13">
        <v>1</v>
      </c>
      <c r="C24" s="13">
        <v>41</v>
      </c>
      <c r="D24" s="13">
        <v>2</v>
      </c>
      <c r="E24" s="13">
        <v>2</v>
      </c>
      <c r="F24" s="13">
        <v>1</v>
      </c>
      <c r="G24" s="14">
        <v>28.3</v>
      </c>
      <c r="H24" s="15">
        <v>1</v>
      </c>
      <c r="I24" s="16"/>
      <c r="J24" s="13">
        <v>1</v>
      </c>
      <c r="K24" s="15"/>
      <c r="L24" s="15"/>
      <c r="M24" s="13"/>
      <c r="N24" s="13">
        <v>1</v>
      </c>
      <c r="O24" s="13">
        <v>2</v>
      </c>
      <c r="P24" s="17"/>
      <c r="Q24" s="13">
        <v>2</v>
      </c>
      <c r="R24" s="13">
        <v>2</v>
      </c>
      <c r="S24" s="13">
        <v>2</v>
      </c>
      <c r="T24" s="13"/>
      <c r="U24" s="13"/>
      <c r="V24" s="14"/>
      <c r="W24" s="13"/>
      <c r="X24" s="13"/>
      <c r="Y24" s="15">
        <v>2</v>
      </c>
      <c r="Z24" s="15">
        <v>1</v>
      </c>
      <c r="AA24" s="15">
        <v>0</v>
      </c>
      <c r="AB24" s="15">
        <v>1</v>
      </c>
      <c r="AC24" s="15">
        <v>1</v>
      </c>
      <c r="AD24" s="13"/>
      <c r="AE24" s="15">
        <v>1</v>
      </c>
      <c r="AF24" s="15">
        <v>1</v>
      </c>
      <c r="AG24" s="13"/>
      <c r="AH24" s="13"/>
      <c r="AI24" s="13"/>
      <c r="AJ24" s="13"/>
      <c r="AK24" s="15">
        <v>2</v>
      </c>
      <c r="AL24" s="15"/>
      <c r="AM24" s="15"/>
      <c r="AN24" s="15"/>
      <c r="AO24" s="15"/>
      <c r="AP24" s="15"/>
      <c r="AQ24" s="15">
        <f ca="1">IFERROR(__xludf.DUMMYFUNCTION("IFNA(DATEDIF(AV26, MAX(FILTER(AY26:CN26 ,  AY26:CN26&lt;&gt;"""")), ""m""), """")"),22)</f>
        <v>22</v>
      </c>
      <c r="AR24" s="13" t="s">
        <v>109</v>
      </c>
      <c r="AS24" s="13" t="s">
        <v>84</v>
      </c>
      <c r="AT24" s="13"/>
      <c r="AU24" s="13">
        <v>18</v>
      </c>
      <c r="AV24" s="13">
        <v>2</v>
      </c>
    </row>
    <row r="25" spans="1:48" ht="15.75" customHeight="1" x14ac:dyDescent="0.2">
      <c r="A25" s="30">
        <v>1850185248</v>
      </c>
      <c r="B25" s="44">
        <v>1</v>
      </c>
      <c r="C25" s="44">
        <v>69</v>
      </c>
      <c r="D25" s="44">
        <v>2</v>
      </c>
      <c r="E25" s="44">
        <v>2</v>
      </c>
      <c r="F25" s="44">
        <v>1</v>
      </c>
      <c r="G25" s="45">
        <v>20.8</v>
      </c>
      <c r="H25" s="47">
        <v>1</v>
      </c>
      <c r="I25" s="16"/>
      <c r="J25" s="44">
        <v>2</v>
      </c>
      <c r="K25" s="47"/>
      <c r="L25" s="47"/>
      <c r="M25" s="44"/>
      <c r="N25" s="44">
        <v>1</v>
      </c>
      <c r="O25" s="44">
        <v>2</v>
      </c>
      <c r="P25" s="17"/>
      <c r="Q25" s="44">
        <v>2</v>
      </c>
      <c r="R25" s="44">
        <v>2</v>
      </c>
      <c r="S25" s="13">
        <v>2</v>
      </c>
      <c r="T25" s="44"/>
      <c r="U25" s="44"/>
      <c r="V25" s="45"/>
      <c r="W25" s="44"/>
      <c r="X25" s="44"/>
      <c r="Y25" s="47">
        <v>2</v>
      </c>
      <c r="Z25" s="47">
        <v>1</v>
      </c>
      <c r="AA25" s="47">
        <v>0</v>
      </c>
      <c r="AB25" s="47">
        <v>1</v>
      </c>
      <c r="AC25" s="47">
        <v>1</v>
      </c>
      <c r="AD25" s="47"/>
      <c r="AE25" s="47">
        <v>1</v>
      </c>
      <c r="AF25" s="15">
        <v>1</v>
      </c>
      <c r="AG25" s="44"/>
      <c r="AH25" s="44"/>
      <c r="AI25" s="44"/>
      <c r="AJ25" s="44"/>
      <c r="AK25" s="47">
        <v>2</v>
      </c>
      <c r="AL25" s="47"/>
      <c r="AM25" s="47"/>
      <c r="AN25" s="47"/>
      <c r="AO25" s="47"/>
      <c r="AP25" s="47"/>
      <c r="AQ25" s="15">
        <f ca="1">IFERROR(__xludf.DUMMYFUNCTION("IFNA(DATEDIF(AV97, MAX(FILTER(AY97:CN97 ,  AY97:CN97&lt;&gt;"""")), ""m""), """")"),22)</f>
        <v>22</v>
      </c>
      <c r="AR25" s="44" t="s">
        <v>61</v>
      </c>
      <c r="AS25" s="46">
        <v>45809</v>
      </c>
      <c r="AT25" s="46"/>
      <c r="AU25" s="44" t="s">
        <v>103</v>
      </c>
      <c r="AV25" s="44">
        <v>3</v>
      </c>
    </row>
    <row r="26" spans="1:48" ht="15.75" customHeight="1" x14ac:dyDescent="0.2">
      <c r="A26" s="12">
        <v>1851013571</v>
      </c>
      <c r="B26" s="44">
        <v>2</v>
      </c>
      <c r="C26" s="44">
        <v>52</v>
      </c>
      <c r="D26" s="44">
        <v>2</v>
      </c>
      <c r="E26" s="44">
        <v>2</v>
      </c>
      <c r="F26" s="44">
        <v>1</v>
      </c>
      <c r="G26" s="46">
        <v>45711</v>
      </c>
      <c r="H26" s="47">
        <v>1</v>
      </c>
      <c r="I26" s="16"/>
      <c r="J26" s="44">
        <v>2</v>
      </c>
      <c r="K26" s="47"/>
      <c r="L26" s="47">
        <v>1</v>
      </c>
      <c r="M26" s="46">
        <v>45748</v>
      </c>
      <c r="N26" s="44">
        <v>1</v>
      </c>
      <c r="O26" s="44">
        <v>2</v>
      </c>
      <c r="P26" s="17"/>
      <c r="Q26" s="44">
        <v>2</v>
      </c>
      <c r="R26" s="44">
        <v>2</v>
      </c>
      <c r="S26" s="13">
        <v>2</v>
      </c>
      <c r="T26" s="44"/>
      <c r="U26" s="44"/>
      <c r="V26" s="45"/>
      <c r="W26" s="44"/>
      <c r="X26" s="44"/>
      <c r="Y26" s="47">
        <v>2</v>
      </c>
      <c r="Z26" s="47">
        <v>1</v>
      </c>
      <c r="AA26" s="47">
        <v>0</v>
      </c>
      <c r="AB26" s="47">
        <v>1</v>
      </c>
      <c r="AC26" s="47">
        <v>1</v>
      </c>
      <c r="AD26" s="47"/>
      <c r="AE26" s="47">
        <v>1</v>
      </c>
      <c r="AF26" s="15">
        <v>1</v>
      </c>
      <c r="AG26" s="44" t="s">
        <v>176</v>
      </c>
      <c r="AH26" s="44" t="s">
        <v>60</v>
      </c>
      <c r="AI26" s="44">
        <v>2</v>
      </c>
      <c r="AJ26" s="44" t="s">
        <v>177</v>
      </c>
      <c r="AK26" s="47">
        <v>2</v>
      </c>
      <c r="AL26" s="47"/>
      <c r="AM26" s="47"/>
      <c r="AN26" s="47"/>
      <c r="AO26" s="47"/>
      <c r="AP26" s="47"/>
      <c r="AQ26" s="15">
        <f ca="1">IFERROR(__xludf.DUMMYFUNCTION("IFNA(DATEDIF(AV100, MAX(FILTER(AY100:CN100 ,  AY100:CN100&lt;&gt;"""")), ""m""), """")"),22)</f>
        <v>22</v>
      </c>
      <c r="AR26" s="44" t="s">
        <v>178</v>
      </c>
      <c r="AS26" s="44" t="s">
        <v>69</v>
      </c>
      <c r="AT26" s="44">
        <v>2</v>
      </c>
      <c r="AU26" s="44" t="s">
        <v>49</v>
      </c>
      <c r="AV26" s="47">
        <v>2</v>
      </c>
    </row>
    <row r="27" spans="1:48" ht="15.75" customHeight="1" x14ac:dyDescent="0.2">
      <c r="A27" s="31">
        <v>1804537064</v>
      </c>
      <c r="B27" s="33">
        <v>1</v>
      </c>
      <c r="C27" s="33">
        <v>37</v>
      </c>
      <c r="D27" s="33">
        <v>2</v>
      </c>
      <c r="E27" s="33">
        <v>2</v>
      </c>
      <c r="F27" s="33">
        <v>1</v>
      </c>
      <c r="G27" s="37">
        <v>45685</v>
      </c>
      <c r="H27" s="30">
        <v>1</v>
      </c>
      <c r="I27" s="16"/>
      <c r="J27" s="33">
        <v>1</v>
      </c>
      <c r="K27" s="30">
        <v>1</v>
      </c>
      <c r="L27" s="30"/>
      <c r="M27" s="37">
        <v>45749</v>
      </c>
      <c r="N27" s="33">
        <v>1</v>
      </c>
      <c r="O27" s="33">
        <v>1</v>
      </c>
      <c r="P27" s="17"/>
      <c r="Q27" s="33">
        <v>1</v>
      </c>
      <c r="R27" s="33">
        <v>1</v>
      </c>
      <c r="S27" s="13">
        <v>1</v>
      </c>
      <c r="T27" s="33">
        <v>8</v>
      </c>
      <c r="U27" s="33">
        <v>4</v>
      </c>
      <c r="V27" s="45">
        <f>(U27/T27)*100</f>
        <v>50</v>
      </c>
      <c r="W27" s="33" t="s">
        <v>79</v>
      </c>
      <c r="X27" s="33">
        <v>2</v>
      </c>
      <c r="Y27" s="30">
        <v>2</v>
      </c>
      <c r="Z27" s="30">
        <v>2</v>
      </c>
      <c r="AA27" s="30">
        <v>1</v>
      </c>
      <c r="AB27" s="30">
        <v>1</v>
      </c>
      <c r="AC27" s="30">
        <v>1</v>
      </c>
      <c r="AD27" s="30"/>
      <c r="AE27" s="47">
        <v>2</v>
      </c>
      <c r="AF27" s="15">
        <v>3</v>
      </c>
      <c r="AG27" s="33" t="s">
        <v>78</v>
      </c>
      <c r="AH27" s="33" t="s">
        <v>45</v>
      </c>
      <c r="AI27" s="33">
        <v>2</v>
      </c>
      <c r="AJ27" s="33">
        <v>20</v>
      </c>
      <c r="AK27" s="30">
        <v>1</v>
      </c>
      <c r="AL27" s="30">
        <v>50</v>
      </c>
      <c r="AM27" s="30"/>
      <c r="AN27" s="30"/>
      <c r="AO27" s="30"/>
      <c r="AP27" s="30"/>
      <c r="AQ27" s="15">
        <f ca="1">IFERROR(__xludf.DUMMYFUNCTION("IFNA(DATEDIF(AV90, MAX(FILTER(AY90:CN90 ,  AY90:CN90&lt;&gt;"""")), ""m""), """")"),23)</f>
        <v>23</v>
      </c>
      <c r="AR27" s="33" t="s">
        <v>90</v>
      </c>
      <c r="AS27" s="33" t="s">
        <v>45</v>
      </c>
      <c r="AT27" s="33">
        <v>2</v>
      </c>
      <c r="AU27" s="33">
        <v>11</v>
      </c>
      <c r="AV27" s="33">
        <v>1</v>
      </c>
    </row>
    <row r="28" spans="1:48" ht="15.75" customHeight="1" x14ac:dyDescent="0.2">
      <c r="A28" s="12">
        <v>1804169801</v>
      </c>
      <c r="B28" s="44">
        <v>1</v>
      </c>
      <c r="C28" s="44">
        <v>51</v>
      </c>
      <c r="D28" s="44">
        <v>2</v>
      </c>
      <c r="E28" s="44">
        <v>2</v>
      </c>
      <c r="F28" s="44">
        <v>1</v>
      </c>
      <c r="G28" s="44" t="s">
        <v>162</v>
      </c>
      <c r="H28" s="47">
        <v>1</v>
      </c>
      <c r="I28" s="16"/>
      <c r="J28" s="44">
        <v>1</v>
      </c>
      <c r="K28" s="47">
        <v>1</v>
      </c>
      <c r="L28" s="47"/>
      <c r="M28" s="44" t="s">
        <v>44</v>
      </c>
      <c r="N28" s="44">
        <v>1</v>
      </c>
      <c r="O28" s="44">
        <v>1</v>
      </c>
      <c r="P28" s="17"/>
      <c r="Q28" s="44">
        <v>2</v>
      </c>
      <c r="R28" s="44">
        <v>2</v>
      </c>
      <c r="S28" s="13">
        <v>2</v>
      </c>
      <c r="T28" s="44"/>
      <c r="U28" s="44"/>
      <c r="V28" s="45"/>
      <c r="W28" s="44"/>
      <c r="X28" s="44"/>
      <c r="Y28" s="47">
        <v>2</v>
      </c>
      <c r="Z28" s="47">
        <v>1</v>
      </c>
      <c r="AA28" s="47">
        <v>0</v>
      </c>
      <c r="AB28" s="47">
        <v>1</v>
      </c>
      <c r="AC28" s="47">
        <v>1</v>
      </c>
      <c r="AD28" s="47"/>
      <c r="AE28" s="47">
        <v>1</v>
      </c>
      <c r="AF28" s="15">
        <v>1</v>
      </c>
      <c r="AG28" s="44" t="s">
        <v>163</v>
      </c>
      <c r="AH28" s="44" t="s">
        <v>45</v>
      </c>
      <c r="AI28" s="44">
        <v>2</v>
      </c>
      <c r="AJ28" s="44" t="s">
        <v>164</v>
      </c>
      <c r="AK28" s="47">
        <v>2</v>
      </c>
      <c r="AL28" s="47"/>
      <c r="AM28" s="47"/>
      <c r="AN28" s="47"/>
      <c r="AO28" s="47"/>
      <c r="AP28" s="47"/>
      <c r="AQ28" s="15">
        <f ca="1">IFERROR(__xludf.DUMMYFUNCTION("IFNA(DATEDIF(AV84, MAX(FILTER(AY84:CN84 ,  AY84:CN84&lt;&gt;"""")), ""m""), """")"),23)</f>
        <v>23</v>
      </c>
      <c r="AR28" s="44" t="s">
        <v>166</v>
      </c>
      <c r="AS28" s="44" t="s">
        <v>69</v>
      </c>
      <c r="AT28" s="44">
        <v>2</v>
      </c>
      <c r="AU28" s="44" t="s">
        <v>165</v>
      </c>
      <c r="AV28" s="44">
        <v>1</v>
      </c>
    </row>
    <row r="29" spans="1:48" ht="15.75" customHeight="1" x14ac:dyDescent="0.2">
      <c r="A29" s="31">
        <v>1803934445</v>
      </c>
      <c r="B29" s="44">
        <v>1</v>
      </c>
      <c r="C29" s="44">
        <v>27</v>
      </c>
      <c r="D29" s="44">
        <v>2</v>
      </c>
      <c r="E29" s="44">
        <v>2</v>
      </c>
      <c r="F29" s="44">
        <v>1</v>
      </c>
      <c r="G29" s="46">
        <v>45833</v>
      </c>
      <c r="H29" s="47">
        <v>1</v>
      </c>
      <c r="I29" s="16"/>
      <c r="J29" s="44">
        <v>1</v>
      </c>
      <c r="K29" s="50">
        <v>1</v>
      </c>
      <c r="L29" s="48"/>
      <c r="M29" s="46">
        <v>45689</v>
      </c>
      <c r="N29" s="44">
        <v>1</v>
      </c>
      <c r="O29" s="44">
        <v>1</v>
      </c>
      <c r="P29" s="17"/>
      <c r="Q29" s="44">
        <v>2</v>
      </c>
      <c r="R29" s="44">
        <v>2</v>
      </c>
      <c r="S29" s="13">
        <v>2</v>
      </c>
      <c r="T29" s="44">
        <v>12</v>
      </c>
      <c r="U29" s="44">
        <v>0</v>
      </c>
      <c r="V29" s="45">
        <f>(U29/T29)*100</f>
        <v>0</v>
      </c>
      <c r="W29" s="44"/>
      <c r="X29" s="44"/>
      <c r="Y29" s="47">
        <v>2</v>
      </c>
      <c r="Z29" s="47">
        <v>1</v>
      </c>
      <c r="AA29" s="47">
        <v>0</v>
      </c>
      <c r="AB29" s="47">
        <v>1</v>
      </c>
      <c r="AC29" s="47">
        <v>1</v>
      </c>
      <c r="AD29" s="44"/>
      <c r="AE29" s="47">
        <v>1</v>
      </c>
      <c r="AF29" s="15">
        <v>1</v>
      </c>
      <c r="AG29" s="44" t="s">
        <v>137</v>
      </c>
      <c r="AH29" s="44" t="s">
        <v>63</v>
      </c>
      <c r="AI29" s="44">
        <v>2</v>
      </c>
      <c r="AJ29" s="44">
        <v>12</v>
      </c>
      <c r="AK29" s="47">
        <v>2</v>
      </c>
      <c r="AL29" s="47"/>
      <c r="AM29" s="47"/>
      <c r="AN29" s="47"/>
      <c r="AO29" s="47"/>
      <c r="AP29" s="47"/>
      <c r="AQ29" s="15">
        <f ca="1">IFERROR(__xludf.DUMMYFUNCTION("IFNA(DATEDIF(AV81, MAX(FILTER(AY81:CN81 ,  AY81:CN81&lt;&gt;"""")), ""m""), """")"),24)</f>
        <v>24</v>
      </c>
      <c r="AR29" s="44" t="s">
        <v>54</v>
      </c>
      <c r="AS29" s="44" t="s">
        <v>63</v>
      </c>
      <c r="AT29" s="44">
        <v>2</v>
      </c>
      <c r="AU29" s="44">
        <v>10</v>
      </c>
      <c r="AV29" s="44">
        <v>1</v>
      </c>
    </row>
    <row r="30" spans="1:48" ht="15.75" customHeight="1" x14ac:dyDescent="0.2">
      <c r="A30" s="30">
        <v>1805124862</v>
      </c>
      <c r="B30" s="13">
        <v>1</v>
      </c>
      <c r="C30" s="13">
        <v>55</v>
      </c>
      <c r="D30" s="13">
        <v>2</v>
      </c>
      <c r="E30" s="13">
        <v>2</v>
      </c>
      <c r="F30" s="13">
        <v>2</v>
      </c>
      <c r="G30" s="14">
        <v>30.7</v>
      </c>
      <c r="H30" s="15">
        <v>1</v>
      </c>
      <c r="I30" s="16"/>
      <c r="J30" s="13">
        <v>1</v>
      </c>
      <c r="K30" s="15">
        <v>1</v>
      </c>
      <c r="L30" s="15"/>
      <c r="M30" s="13" t="s">
        <v>74</v>
      </c>
      <c r="N30" s="13">
        <v>1</v>
      </c>
      <c r="O30" s="13">
        <v>2</v>
      </c>
      <c r="P30" s="17"/>
      <c r="Q30" s="13">
        <v>2</v>
      </c>
      <c r="R30" s="13">
        <v>2</v>
      </c>
      <c r="S30" s="13">
        <v>2</v>
      </c>
      <c r="T30" s="13"/>
      <c r="U30" s="13"/>
      <c r="V30" s="14"/>
      <c r="W30" s="13"/>
      <c r="X30" s="13"/>
      <c r="Y30" s="15">
        <v>2</v>
      </c>
      <c r="Z30" s="15">
        <v>1</v>
      </c>
      <c r="AA30" s="15">
        <v>0</v>
      </c>
      <c r="AB30" s="15">
        <v>1</v>
      </c>
      <c r="AC30" s="15">
        <v>1</v>
      </c>
      <c r="AD30" s="15"/>
      <c r="AE30" s="15">
        <v>1</v>
      </c>
      <c r="AF30" s="15">
        <v>1</v>
      </c>
      <c r="AG30" s="13" t="s">
        <v>51</v>
      </c>
      <c r="AH30" s="13" t="s">
        <v>77</v>
      </c>
      <c r="AI30" s="13">
        <v>2</v>
      </c>
      <c r="AJ30" s="13">
        <v>11</v>
      </c>
      <c r="AK30" s="15">
        <v>2</v>
      </c>
      <c r="AL30" s="15"/>
      <c r="AM30" s="15"/>
      <c r="AN30" s="15"/>
      <c r="AO30" s="15"/>
      <c r="AP30" s="15"/>
      <c r="AQ30" s="15">
        <f ca="1">IFERROR(__xludf.DUMMYFUNCTION("IFNA(DATEDIF(AV92, MAX(FILTER(AY92:CN92 ,  AY92:CN92&lt;&gt;"""")), ""m""), """")"),24)</f>
        <v>24</v>
      </c>
      <c r="AR30" s="19">
        <v>45659</v>
      </c>
      <c r="AS30" s="13" t="s">
        <v>45</v>
      </c>
      <c r="AT30" s="13"/>
      <c r="AU30" s="13">
        <v>10</v>
      </c>
      <c r="AV30" s="44">
        <v>1</v>
      </c>
    </row>
    <row r="31" spans="1:48" ht="15.75" customHeight="1" x14ac:dyDescent="0.2">
      <c r="A31" s="12">
        <v>1804198040</v>
      </c>
      <c r="B31" s="13">
        <v>1</v>
      </c>
      <c r="C31" s="13">
        <v>56</v>
      </c>
      <c r="D31" s="13">
        <v>2</v>
      </c>
      <c r="E31" s="13">
        <v>2</v>
      </c>
      <c r="F31" s="13">
        <v>1</v>
      </c>
      <c r="G31" s="14">
        <v>27.6</v>
      </c>
      <c r="H31" s="15">
        <v>1</v>
      </c>
      <c r="I31" s="16"/>
      <c r="J31" s="13">
        <v>1</v>
      </c>
      <c r="K31" s="15"/>
      <c r="L31" s="15"/>
      <c r="M31" s="13"/>
      <c r="N31" s="13">
        <v>1</v>
      </c>
      <c r="O31" s="13">
        <v>2</v>
      </c>
      <c r="P31" s="17"/>
      <c r="Q31" s="13">
        <v>2</v>
      </c>
      <c r="R31" s="13">
        <v>2</v>
      </c>
      <c r="S31" s="13">
        <v>2</v>
      </c>
      <c r="T31" s="13"/>
      <c r="U31" s="13"/>
      <c r="V31" s="14"/>
      <c r="W31" s="13"/>
      <c r="X31" s="13"/>
      <c r="Y31" s="15">
        <v>2</v>
      </c>
      <c r="Z31" s="15">
        <v>1</v>
      </c>
      <c r="AA31" s="15">
        <v>0</v>
      </c>
      <c r="AB31" s="15">
        <v>1</v>
      </c>
      <c r="AC31" s="15">
        <v>1</v>
      </c>
      <c r="AD31" s="15"/>
      <c r="AE31" s="15">
        <v>1</v>
      </c>
      <c r="AF31" s="15">
        <v>1</v>
      </c>
      <c r="AG31" s="13"/>
      <c r="AH31" s="13"/>
      <c r="AI31" s="13"/>
      <c r="AJ31" s="13"/>
      <c r="AK31" s="15">
        <v>2</v>
      </c>
      <c r="AL31" s="15"/>
      <c r="AM31" s="15"/>
      <c r="AN31" s="15"/>
      <c r="AO31" s="15"/>
      <c r="AP31" s="15"/>
      <c r="AQ31" s="15">
        <f ca="1">IFERROR(__xludf.DUMMYFUNCTION("IFNA(DATEDIF(AV85, MAX(FILTER(AY85:CN85 ,  AY85:CN85&lt;&gt;"""")), ""m""), """")"),24)</f>
        <v>24</v>
      </c>
      <c r="AR31" s="13" t="s">
        <v>112</v>
      </c>
      <c r="AS31" s="13" t="s">
        <v>167</v>
      </c>
      <c r="AT31" s="13"/>
      <c r="AU31" s="13">
        <v>13</v>
      </c>
      <c r="AV31" s="13">
        <v>3</v>
      </c>
    </row>
    <row r="32" spans="1:48" ht="15.75" customHeight="1" x14ac:dyDescent="0.2">
      <c r="A32" s="12">
        <v>1805443593</v>
      </c>
      <c r="B32" s="33">
        <v>1</v>
      </c>
      <c r="C32" s="33">
        <v>38</v>
      </c>
      <c r="D32" s="33">
        <v>2</v>
      </c>
      <c r="E32" s="33">
        <v>2</v>
      </c>
      <c r="F32" s="33">
        <v>1</v>
      </c>
      <c r="G32" s="36">
        <v>29.4</v>
      </c>
      <c r="H32" s="30">
        <v>1</v>
      </c>
      <c r="I32" s="16"/>
      <c r="J32" s="33">
        <v>1</v>
      </c>
      <c r="K32" s="30">
        <v>13</v>
      </c>
      <c r="L32" s="56"/>
      <c r="M32" s="37">
        <v>45692</v>
      </c>
      <c r="N32" s="33">
        <v>2</v>
      </c>
      <c r="O32" s="33">
        <v>2</v>
      </c>
      <c r="P32" s="17"/>
      <c r="Q32" s="33">
        <v>2</v>
      </c>
      <c r="R32" s="33">
        <v>2</v>
      </c>
      <c r="S32" s="13">
        <v>2</v>
      </c>
      <c r="T32" s="33"/>
      <c r="U32" s="33"/>
      <c r="V32" s="36"/>
      <c r="W32" s="33"/>
      <c r="X32" s="33"/>
      <c r="Y32" s="30">
        <v>2</v>
      </c>
      <c r="Z32" s="30">
        <v>3</v>
      </c>
      <c r="AA32" s="30">
        <v>0</v>
      </c>
      <c r="AB32" s="30">
        <v>1</v>
      </c>
      <c r="AC32" s="30">
        <v>1</v>
      </c>
      <c r="AD32" s="30"/>
      <c r="AE32" s="30">
        <v>1</v>
      </c>
      <c r="AF32" s="15">
        <v>2</v>
      </c>
      <c r="AG32" s="33" t="s">
        <v>175</v>
      </c>
      <c r="AH32" s="33" t="s">
        <v>60</v>
      </c>
      <c r="AI32" s="33">
        <v>2</v>
      </c>
      <c r="AJ32" s="37">
        <v>45728</v>
      </c>
      <c r="AK32" s="30">
        <v>2</v>
      </c>
      <c r="AL32" s="30"/>
      <c r="AM32" s="30"/>
      <c r="AN32" s="30"/>
      <c r="AO32" s="30"/>
      <c r="AP32" s="30"/>
      <c r="AQ32" s="15">
        <f ca="1">IFERROR(__xludf.DUMMYFUNCTION("IFNA(DATEDIF(AV95, MAX(FILTER(AY95:CN95 ,  AY95:CN95&lt;&gt;"""")), ""m""), """")"),24)</f>
        <v>24</v>
      </c>
      <c r="AR32" s="37">
        <v>45689</v>
      </c>
      <c r="AS32" s="33" t="s">
        <v>110</v>
      </c>
      <c r="AT32" s="33"/>
      <c r="AU32" s="37">
        <v>45852</v>
      </c>
      <c r="AV32" s="30">
        <v>1</v>
      </c>
    </row>
    <row r="33" spans="1:48" ht="15.75" customHeight="1" x14ac:dyDescent="0.2">
      <c r="A33" s="12">
        <v>1802707891</v>
      </c>
      <c r="B33" s="44">
        <v>1</v>
      </c>
      <c r="C33" s="44">
        <v>56</v>
      </c>
      <c r="D33" s="44">
        <v>2</v>
      </c>
      <c r="E33" s="44">
        <v>2</v>
      </c>
      <c r="F33" s="44">
        <v>1</v>
      </c>
      <c r="G33" s="45">
        <v>28.1</v>
      </c>
      <c r="H33" s="47">
        <v>2</v>
      </c>
      <c r="I33" s="16"/>
      <c r="J33" s="44">
        <v>1</v>
      </c>
      <c r="K33" s="47"/>
      <c r="L33" s="47"/>
      <c r="M33" s="44"/>
      <c r="N33" s="44">
        <v>1</v>
      </c>
      <c r="O33" s="44">
        <v>2</v>
      </c>
      <c r="P33" s="17"/>
      <c r="Q33" s="44">
        <v>2</v>
      </c>
      <c r="R33" s="44">
        <v>2</v>
      </c>
      <c r="S33" s="13">
        <v>2</v>
      </c>
      <c r="T33" s="44"/>
      <c r="U33" s="44"/>
      <c r="V33" s="14"/>
      <c r="W33" s="44"/>
      <c r="X33" s="44"/>
      <c r="Y33" s="47">
        <v>2</v>
      </c>
      <c r="Z33" s="47">
        <v>1</v>
      </c>
      <c r="AA33" s="47">
        <v>1</v>
      </c>
      <c r="AB33" s="47">
        <v>1</v>
      </c>
      <c r="AC33" s="47">
        <v>1</v>
      </c>
      <c r="AD33" s="47"/>
      <c r="AE33" s="15">
        <v>1</v>
      </c>
      <c r="AF33" s="15">
        <v>1</v>
      </c>
      <c r="AG33" s="44"/>
      <c r="AH33" s="44"/>
      <c r="AI33" s="44"/>
      <c r="AJ33" s="44"/>
      <c r="AK33" s="47">
        <v>1</v>
      </c>
      <c r="AL33" s="47"/>
      <c r="AM33" s="47"/>
      <c r="AN33" s="47"/>
      <c r="AO33" s="47"/>
      <c r="AP33" s="47"/>
      <c r="AQ33" s="15">
        <f ca="1">IFERROR(__xludf.DUMMYFUNCTION("IFNA(DATEDIF(AV57, MAX(FILTER(AY57:CN57 ,  AY57:CN57&lt;&gt;"""")), ""m""), """")"),24)</f>
        <v>24</v>
      </c>
      <c r="AR33" s="44" t="s">
        <v>104</v>
      </c>
      <c r="AS33" s="44" t="s">
        <v>59</v>
      </c>
      <c r="AT33" s="44"/>
      <c r="AU33" s="44">
        <v>10</v>
      </c>
      <c r="AV33" s="44">
        <v>1</v>
      </c>
    </row>
    <row r="34" spans="1:48" ht="15.75" customHeight="1" x14ac:dyDescent="0.2">
      <c r="A34" s="12">
        <v>1805203526</v>
      </c>
      <c r="B34" s="44">
        <v>1</v>
      </c>
      <c r="C34" s="44">
        <v>57</v>
      </c>
      <c r="D34" s="44">
        <v>2</v>
      </c>
      <c r="E34" s="44">
        <v>2</v>
      </c>
      <c r="F34" s="44">
        <v>1</v>
      </c>
      <c r="G34" s="44">
        <v>22.07</v>
      </c>
      <c r="H34" s="47">
        <v>1</v>
      </c>
      <c r="I34" s="16"/>
      <c r="J34" s="44">
        <v>1</v>
      </c>
      <c r="K34" s="47">
        <v>1</v>
      </c>
      <c r="L34" s="47"/>
      <c r="M34" s="46">
        <v>45780</v>
      </c>
      <c r="N34" s="44">
        <v>1</v>
      </c>
      <c r="O34" s="44">
        <v>2</v>
      </c>
      <c r="P34" s="17"/>
      <c r="Q34" s="44">
        <v>1</v>
      </c>
      <c r="R34" s="44">
        <v>1</v>
      </c>
      <c r="S34" s="13">
        <v>1</v>
      </c>
      <c r="T34" s="44">
        <v>10</v>
      </c>
      <c r="U34" s="44">
        <v>6</v>
      </c>
      <c r="V34" s="45">
        <f>(U34/T34)*100</f>
        <v>60</v>
      </c>
      <c r="W34" s="44" t="s">
        <v>44</v>
      </c>
      <c r="X34" s="44">
        <v>2</v>
      </c>
      <c r="Y34" s="47">
        <v>2</v>
      </c>
      <c r="Z34" s="47">
        <v>3</v>
      </c>
      <c r="AA34" s="47">
        <v>0</v>
      </c>
      <c r="AB34" s="47">
        <v>1</v>
      </c>
      <c r="AC34" s="47">
        <v>1</v>
      </c>
      <c r="AD34" s="47"/>
      <c r="AE34" s="47">
        <v>3</v>
      </c>
      <c r="AF34" s="15">
        <v>3</v>
      </c>
      <c r="AG34" s="44" t="s">
        <v>173</v>
      </c>
      <c r="AH34" s="44">
        <v>4.8899999999999997</v>
      </c>
      <c r="AI34" s="44">
        <v>2</v>
      </c>
      <c r="AJ34" s="44">
        <v>26.8</v>
      </c>
      <c r="AK34" s="47">
        <v>1</v>
      </c>
      <c r="AL34" s="47">
        <v>100</v>
      </c>
      <c r="AM34" s="47">
        <v>70.7</v>
      </c>
      <c r="AN34" s="47">
        <v>12.8</v>
      </c>
      <c r="AO34" s="47">
        <v>2</v>
      </c>
      <c r="AP34" s="47">
        <v>39.6</v>
      </c>
      <c r="AQ34" s="15">
        <f ca="1">IFERROR(__xludf.DUMMYFUNCTION("IFNA(DATEDIF(AV93, MAX(FILTER(AY93:CN93 ,  AY93:CN93&lt;&gt;"""")), ""m""), """")"),24)</f>
        <v>24</v>
      </c>
      <c r="AR34" s="44">
        <v>0.21</v>
      </c>
      <c r="AS34" s="44">
        <v>0.9</v>
      </c>
      <c r="AT34" s="44">
        <v>2</v>
      </c>
      <c r="AU34" s="44" t="s">
        <v>98</v>
      </c>
      <c r="AV34" s="47">
        <v>2</v>
      </c>
    </row>
    <row r="35" spans="1:48" ht="15.75" customHeight="1" x14ac:dyDescent="0.2">
      <c r="A35" s="12">
        <v>1802204188</v>
      </c>
      <c r="B35" s="44">
        <v>1</v>
      </c>
      <c r="C35" s="44">
        <v>76</v>
      </c>
      <c r="D35" s="44">
        <v>2</v>
      </c>
      <c r="E35" s="44">
        <v>2</v>
      </c>
      <c r="F35" s="44">
        <v>1</v>
      </c>
      <c r="G35" s="44" t="s">
        <v>129</v>
      </c>
      <c r="H35" s="47">
        <v>1</v>
      </c>
      <c r="I35" s="16"/>
      <c r="J35" s="44">
        <v>1</v>
      </c>
      <c r="K35" s="47">
        <v>1</v>
      </c>
      <c r="L35" s="47"/>
      <c r="M35" s="44" t="s">
        <v>74</v>
      </c>
      <c r="N35" s="44">
        <v>1</v>
      </c>
      <c r="O35" s="44">
        <v>1</v>
      </c>
      <c r="P35" s="17"/>
      <c r="Q35" s="44">
        <v>2</v>
      </c>
      <c r="R35" s="44">
        <v>2</v>
      </c>
      <c r="S35" s="13">
        <v>2</v>
      </c>
      <c r="T35" s="44"/>
      <c r="U35" s="44"/>
      <c r="V35" s="45"/>
      <c r="W35" s="44"/>
      <c r="X35" s="44"/>
      <c r="Y35" s="47">
        <v>2</v>
      </c>
      <c r="Z35" s="47">
        <v>1</v>
      </c>
      <c r="AA35" s="47">
        <v>0</v>
      </c>
      <c r="AB35" s="47">
        <v>1</v>
      </c>
      <c r="AC35" s="47">
        <v>1</v>
      </c>
      <c r="AD35" s="47"/>
      <c r="AE35" s="47">
        <v>1</v>
      </c>
      <c r="AF35" s="47">
        <v>1</v>
      </c>
      <c r="AG35" s="44" t="s">
        <v>130</v>
      </c>
      <c r="AH35" s="44" t="s">
        <v>51</v>
      </c>
      <c r="AI35" s="44">
        <v>2</v>
      </c>
      <c r="AJ35" s="46">
        <v>45769</v>
      </c>
      <c r="AK35" s="47">
        <v>2</v>
      </c>
      <c r="AL35" s="47"/>
      <c r="AM35" s="47"/>
      <c r="AN35" s="47"/>
      <c r="AO35" s="47"/>
      <c r="AP35" s="47"/>
      <c r="AQ35" s="15">
        <f ca="1">IFERROR(__xludf.DUMMYFUNCTION("IFNA(DATEDIF(AV43, MAX(FILTER(AY43:CN43 ,  AY43:CN43&lt;&gt;"""")), ""m""), """")"),24)</f>
        <v>24</v>
      </c>
      <c r="AR35" s="44" t="s">
        <v>60</v>
      </c>
      <c r="AS35" s="44" t="s">
        <v>45</v>
      </c>
      <c r="AT35" s="44">
        <v>2</v>
      </c>
      <c r="AU35" s="44" t="s">
        <v>131</v>
      </c>
      <c r="AV35" s="44">
        <v>1</v>
      </c>
    </row>
    <row r="36" spans="1:48" ht="15.75" customHeight="1" x14ac:dyDescent="0.2">
      <c r="A36" s="12">
        <v>1803776036</v>
      </c>
      <c r="B36" s="44">
        <v>1</v>
      </c>
      <c r="C36" s="44">
        <v>45</v>
      </c>
      <c r="D36" s="44">
        <v>2</v>
      </c>
      <c r="E36" s="44">
        <v>2</v>
      </c>
      <c r="F36" s="44">
        <v>2</v>
      </c>
      <c r="G36" s="45">
        <v>48.4</v>
      </c>
      <c r="H36" s="47">
        <v>2</v>
      </c>
      <c r="I36" s="16"/>
      <c r="J36" s="44">
        <v>1</v>
      </c>
      <c r="K36" s="47">
        <v>5</v>
      </c>
      <c r="L36" s="47"/>
      <c r="M36" s="44"/>
      <c r="N36" s="44">
        <v>3</v>
      </c>
      <c r="O36" s="44">
        <v>2</v>
      </c>
      <c r="P36" s="17"/>
      <c r="Q36" s="44">
        <v>1</v>
      </c>
      <c r="R36" s="44">
        <v>1</v>
      </c>
      <c r="S36" s="13">
        <v>1</v>
      </c>
      <c r="T36" s="44"/>
      <c r="U36" s="44">
        <v>2</v>
      </c>
      <c r="V36" s="45"/>
      <c r="W36" s="44"/>
      <c r="X36" s="44"/>
      <c r="Y36" s="47">
        <v>2</v>
      </c>
      <c r="Z36" s="47">
        <v>3</v>
      </c>
      <c r="AA36" s="47">
        <v>1</v>
      </c>
      <c r="AB36" s="47">
        <v>1</v>
      </c>
      <c r="AC36" s="47">
        <v>1</v>
      </c>
      <c r="AD36" s="47"/>
      <c r="AE36" s="47">
        <v>2</v>
      </c>
      <c r="AF36" s="15">
        <v>3</v>
      </c>
      <c r="AG36" s="44"/>
      <c r="AH36" s="44"/>
      <c r="AI36" s="44"/>
      <c r="AJ36" s="44"/>
      <c r="AK36" s="47">
        <v>1</v>
      </c>
      <c r="AL36" s="47">
        <v>100</v>
      </c>
      <c r="AM36" s="47"/>
      <c r="AN36" s="47"/>
      <c r="AO36" s="47"/>
      <c r="AP36" s="47"/>
      <c r="AQ36" s="15">
        <f ca="1">IFERROR(__xludf.DUMMYFUNCTION("IFNA(DATEDIF(AV74, MAX(FILTER(AY74:CN74 ,  AY74:CN74&lt;&gt;"""")), ""m""), """")"),25)</f>
        <v>25</v>
      </c>
      <c r="AR36" s="44">
        <v>0.12</v>
      </c>
      <c r="AS36" s="44">
        <v>0.04</v>
      </c>
      <c r="AT36" s="44"/>
      <c r="AU36" s="44">
        <v>16</v>
      </c>
      <c r="AV36" s="44">
        <v>1</v>
      </c>
    </row>
    <row r="37" spans="1:48" ht="15.75" customHeight="1" x14ac:dyDescent="0.2">
      <c r="A37" s="12">
        <v>1804201653</v>
      </c>
      <c r="B37" s="13">
        <v>1</v>
      </c>
      <c r="C37" s="13">
        <v>37</v>
      </c>
      <c r="D37" s="13">
        <v>2</v>
      </c>
      <c r="E37" s="13">
        <v>2</v>
      </c>
      <c r="F37" s="13">
        <v>1</v>
      </c>
      <c r="G37" s="14">
        <v>24.5</v>
      </c>
      <c r="H37" s="15">
        <v>2</v>
      </c>
      <c r="I37" s="16"/>
      <c r="J37" s="13">
        <v>1</v>
      </c>
      <c r="K37" s="15"/>
      <c r="L37" s="15"/>
      <c r="M37" s="13"/>
      <c r="N37" s="13">
        <v>1</v>
      </c>
      <c r="O37" s="13">
        <v>2</v>
      </c>
      <c r="P37" s="17"/>
      <c r="Q37" s="13">
        <v>2</v>
      </c>
      <c r="R37" s="13">
        <v>2</v>
      </c>
      <c r="S37" s="13">
        <v>2</v>
      </c>
      <c r="T37" s="13"/>
      <c r="U37" s="13"/>
      <c r="V37" s="14"/>
      <c r="W37" s="13"/>
      <c r="X37" s="13"/>
      <c r="Y37" s="15">
        <v>2</v>
      </c>
      <c r="Z37" s="15">
        <v>2</v>
      </c>
      <c r="AA37" s="15">
        <v>1</v>
      </c>
      <c r="AB37" s="15">
        <v>1</v>
      </c>
      <c r="AC37" s="15">
        <v>1</v>
      </c>
      <c r="AD37" s="15"/>
      <c r="AE37" s="15">
        <v>1</v>
      </c>
      <c r="AF37" s="15">
        <v>1</v>
      </c>
      <c r="AG37" s="13"/>
      <c r="AH37" s="13"/>
      <c r="AI37" s="13"/>
      <c r="AJ37" s="13"/>
      <c r="AK37" s="15">
        <v>1</v>
      </c>
      <c r="AL37" s="15"/>
      <c r="AM37" s="15"/>
      <c r="AN37" s="15"/>
      <c r="AO37" s="15"/>
      <c r="AP37" s="15"/>
      <c r="AQ37" s="15">
        <f ca="1">IFERROR(__xludf.DUMMYFUNCTION("IFNA(DATEDIF(AV86, MAX(FILTER(AY86:CN86 ,  AY86:CN86&lt;&gt;"""")), ""m""), """")"),25)</f>
        <v>25</v>
      </c>
      <c r="AR37" s="13" t="s">
        <v>84</v>
      </c>
      <c r="AS37" s="13" t="s">
        <v>69</v>
      </c>
      <c r="AT37" s="13"/>
      <c r="AU37" s="13">
        <v>1122</v>
      </c>
      <c r="AV37" s="13">
        <v>1</v>
      </c>
    </row>
    <row r="38" spans="1:48" ht="15.75" customHeight="1" x14ac:dyDescent="0.2">
      <c r="A38" s="12">
        <v>1804304366</v>
      </c>
      <c r="B38" s="44">
        <v>1</v>
      </c>
      <c r="C38" s="44">
        <v>34</v>
      </c>
      <c r="D38" s="44">
        <v>2</v>
      </c>
      <c r="E38" s="44">
        <v>2</v>
      </c>
      <c r="F38" s="44">
        <v>1</v>
      </c>
      <c r="G38" s="44" t="s">
        <v>168</v>
      </c>
      <c r="H38" s="47">
        <v>1</v>
      </c>
      <c r="I38" s="16"/>
      <c r="J38" s="44">
        <v>1</v>
      </c>
      <c r="K38" s="47">
        <v>1</v>
      </c>
      <c r="L38" s="47"/>
      <c r="M38" s="44" t="s">
        <v>62</v>
      </c>
      <c r="N38" s="44">
        <v>1</v>
      </c>
      <c r="O38" s="44">
        <v>1</v>
      </c>
      <c r="P38" s="17"/>
      <c r="Q38" s="44">
        <v>1</v>
      </c>
      <c r="R38" s="44">
        <v>2</v>
      </c>
      <c r="S38" s="13">
        <v>2</v>
      </c>
      <c r="T38" s="44"/>
      <c r="U38" s="44"/>
      <c r="V38" s="45"/>
      <c r="W38" s="44"/>
      <c r="X38" s="44"/>
      <c r="Y38" s="47">
        <v>2</v>
      </c>
      <c r="Z38" s="47">
        <v>1</v>
      </c>
      <c r="AA38" s="47">
        <v>0</v>
      </c>
      <c r="AB38" s="47">
        <v>1</v>
      </c>
      <c r="AC38" s="47">
        <v>1</v>
      </c>
      <c r="AD38" s="47"/>
      <c r="AE38" s="47">
        <v>2</v>
      </c>
      <c r="AF38" s="15">
        <v>3</v>
      </c>
      <c r="AG38" s="51">
        <v>45888</v>
      </c>
      <c r="AH38" s="44" t="s">
        <v>169</v>
      </c>
      <c r="AI38" s="44">
        <v>2</v>
      </c>
      <c r="AJ38" s="44" t="s">
        <v>49</v>
      </c>
      <c r="AK38" s="47">
        <v>2</v>
      </c>
      <c r="AL38" s="47"/>
      <c r="AM38" s="47"/>
      <c r="AN38" s="47"/>
      <c r="AO38" s="47"/>
      <c r="AP38" s="47"/>
      <c r="AQ38" s="15">
        <f ca="1">IFERROR(__xludf.DUMMYFUNCTION("IFNA(DATEDIF(AV88, MAX(FILTER(AY88:CN88 ,  AY88:CN88&lt;&gt;"""")), ""m""), """")"),25)</f>
        <v>25</v>
      </c>
      <c r="AR38" s="44" t="s">
        <v>128</v>
      </c>
      <c r="AS38" s="44" t="s">
        <v>111</v>
      </c>
      <c r="AT38" s="44">
        <v>2</v>
      </c>
      <c r="AU38" s="44" t="s">
        <v>49</v>
      </c>
      <c r="AV38" s="44">
        <v>1</v>
      </c>
    </row>
    <row r="39" spans="1:48" ht="15.75" customHeight="1" x14ac:dyDescent="0.2">
      <c r="A39" s="31">
        <v>1803993540</v>
      </c>
      <c r="B39" s="44">
        <v>1</v>
      </c>
      <c r="C39" s="44">
        <v>52</v>
      </c>
      <c r="D39" s="44">
        <v>2</v>
      </c>
      <c r="E39" s="44">
        <v>2</v>
      </c>
      <c r="F39" s="44">
        <v>1</v>
      </c>
      <c r="G39" s="45">
        <v>26.3</v>
      </c>
      <c r="H39" s="47">
        <v>2</v>
      </c>
      <c r="I39" s="16"/>
      <c r="J39" s="44">
        <v>1</v>
      </c>
      <c r="K39" s="47"/>
      <c r="L39" s="47"/>
      <c r="M39" s="44"/>
      <c r="N39" s="44">
        <v>1</v>
      </c>
      <c r="O39" s="44">
        <v>2</v>
      </c>
      <c r="P39" s="17"/>
      <c r="Q39" s="44">
        <v>2</v>
      </c>
      <c r="R39" s="44">
        <v>2</v>
      </c>
      <c r="S39" s="13">
        <v>1</v>
      </c>
      <c r="T39" s="44"/>
      <c r="U39" s="44">
        <v>1</v>
      </c>
      <c r="V39" s="45"/>
      <c r="W39" s="44"/>
      <c r="X39" s="44"/>
      <c r="Y39" s="47">
        <v>2</v>
      </c>
      <c r="Z39" s="47">
        <v>1</v>
      </c>
      <c r="AA39" s="47">
        <v>1</v>
      </c>
      <c r="AB39" s="47">
        <v>1</v>
      </c>
      <c r="AC39" s="47">
        <v>1</v>
      </c>
      <c r="AD39" s="47"/>
      <c r="AE39" s="47">
        <v>1</v>
      </c>
      <c r="AF39" s="15">
        <v>1</v>
      </c>
      <c r="AG39" s="44"/>
      <c r="AH39" s="44"/>
      <c r="AI39" s="44"/>
      <c r="AJ39" s="44"/>
      <c r="AK39" s="47">
        <v>1</v>
      </c>
      <c r="AL39" s="47"/>
      <c r="AM39" s="47"/>
      <c r="AN39" s="47"/>
      <c r="AO39" s="47"/>
      <c r="AP39" s="47"/>
      <c r="AQ39" s="15">
        <f ca="1">IFERROR(__xludf.DUMMYFUNCTION("IFNA(DATEDIF(AV82, MAX(FILTER(AY82:CN82 ,  AY82:CN82&lt;&gt;"""")), ""m""), """")"),26)</f>
        <v>26</v>
      </c>
      <c r="AR39" s="44" t="s">
        <v>160</v>
      </c>
      <c r="AS39" s="46">
        <v>45658</v>
      </c>
      <c r="AT39" s="46"/>
      <c r="AU39" s="46">
        <v>45832</v>
      </c>
      <c r="AV39" s="47">
        <v>3</v>
      </c>
    </row>
    <row r="40" spans="1:48" ht="15.75" customHeight="1" x14ac:dyDescent="0.2">
      <c r="A40" s="12">
        <v>1803794617</v>
      </c>
      <c r="B40" s="13">
        <v>1</v>
      </c>
      <c r="C40" s="13">
        <v>42</v>
      </c>
      <c r="D40" s="13">
        <v>2</v>
      </c>
      <c r="E40" s="13">
        <v>2</v>
      </c>
      <c r="F40" s="13">
        <v>1</v>
      </c>
      <c r="G40" s="19">
        <v>45834</v>
      </c>
      <c r="H40" s="15">
        <v>1</v>
      </c>
      <c r="I40" s="16"/>
      <c r="J40" s="13">
        <v>1</v>
      </c>
      <c r="K40" s="15">
        <v>1</v>
      </c>
      <c r="L40" s="15"/>
      <c r="M40" s="19">
        <v>45689</v>
      </c>
      <c r="N40" s="13">
        <v>1</v>
      </c>
      <c r="O40" s="13">
        <v>1</v>
      </c>
      <c r="P40" s="17"/>
      <c r="Q40" s="13">
        <v>1</v>
      </c>
      <c r="R40" s="13">
        <v>1</v>
      </c>
      <c r="S40" s="13">
        <v>2</v>
      </c>
      <c r="T40" s="13"/>
      <c r="U40" s="13"/>
      <c r="V40" s="14"/>
      <c r="W40" s="13"/>
      <c r="X40" s="13"/>
      <c r="Y40" s="15">
        <v>2</v>
      </c>
      <c r="Z40" s="15">
        <v>1</v>
      </c>
      <c r="AA40" s="15">
        <v>0</v>
      </c>
      <c r="AB40" s="15">
        <v>1</v>
      </c>
      <c r="AC40" s="15">
        <v>1</v>
      </c>
      <c r="AD40" s="15"/>
      <c r="AE40" s="15">
        <v>2</v>
      </c>
      <c r="AF40" s="15">
        <v>3</v>
      </c>
      <c r="AG40" s="13" t="s">
        <v>70</v>
      </c>
      <c r="AH40" s="13" t="s">
        <v>45</v>
      </c>
      <c r="AI40" s="13">
        <v>2</v>
      </c>
      <c r="AJ40" s="13" t="s">
        <v>49</v>
      </c>
      <c r="AK40" s="15">
        <v>1</v>
      </c>
      <c r="AL40" s="15">
        <v>50</v>
      </c>
      <c r="AM40" s="13" t="s">
        <v>157</v>
      </c>
      <c r="AN40" s="13" t="s">
        <v>115</v>
      </c>
      <c r="AO40" s="13">
        <v>2</v>
      </c>
      <c r="AP40" s="13">
        <v>11</v>
      </c>
      <c r="AQ40" s="15">
        <f ca="1">IFERROR(__xludf.DUMMYFUNCTION("IFNA(DATEDIF(AV77, MAX(FILTER(AY77:CN77 ,  AY77:CN77&lt;&gt;"""")), ""m""), """")"),26)</f>
        <v>26</v>
      </c>
      <c r="AR40" s="13" t="s">
        <v>77</v>
      </c>
      <c r="AS40" s="13" t="s">
        <v>69</v>
      </c>
      <c r="AT40" s="13">
        <v>2</v>
      </c>
      <c r="AU40" s="13" t="s">
        <v>103</v>
      </c>
      <c r="AV40" s="13">
        <v>1</v>
      </c>
    </row>
    <row r="41" spans="1:48" ht="15.75" customHeight="1" x14ac:dyDescent="0.2">
      <c r="A41" s="12">
        <v>1804843256</v>
      </c>
      <c r="B41" s="13">
        <v>1</v>
      </c>
      <c r="C41" s="13">
        <v>33</v>
      </c>
      <c r="D41" s="13">
        <v>2</v>
      </c>
      <c r="E41" s="13">
        <v>2</v>
      </c>
      <c r="F41" s="13">
        <v>1</v>
      </c>
      <c r="G41" s="14">
        <v>19.399999999999999</v>
      </c>
      <c r="H41" s="15">
        <v>1</v>
      </c>
      <c r="I41" s="16"/>
      <c r="J41" s="13">
        <v>1</v>
      </c>
      <c r="K41" s="15"/>
      <c r="L41" s="15"/>
      <c r="M41" s="13"/>
      <c r="N41" s="13">
        <v>1</v>
      </c>
      <c r="O41" s="13">
        <v>2</v>
      </c>
      <c r="P41" s="17"/>
      <c r="Q41" s="13">
        <v>2</v>
      </c>
      <c r="R41" s="13">
        <v>2</v>
      </c>
      <c r="S41" s="13">
        <v>1</v>
      </c>
      <c r="T41" s="13"/>
      <c r="U41" s="13">
        <v>1</v>
      </c>
      <c r="V41" s="14"/>
      <c r="W41" s="13"/>
      <c r="X41" s="13"/>
      <c r="Y41" s="15">
        <v>2</v>
      </c>
      <c r="Z41" s="15">
        <v>1</v>
      </c>
      <c r="AA41" s="15">
        <v>1</v>
      </c>
      <c r="AB41" s="15">
        <v>1</v>
      </c>
      <c r="AC41" s="15">
        <v>1</v>
      </c>
      <c r="AD41" s="15"/>
      <c r="AE41" s="15">
        <v>1</v>
      </c>
      <c r="AF41" s="15">
        <v>1</v>
      </c>
      <c r="AG41" s="13"/>
      <c r="AH41" s="13"/>
      <c r="AI41" s="13"/>
      <c r="AJ41" s="13"/>
      <c r="AK41" s="15">
        <v>1</v>
      </c>
      <c r="AL41" s="15"/>
      <c r="AM41" s="15"/>
      <c r="AN41" s="15"/>
      <c r="AO41" s="15"/>
      <c r="AP41" s="15"/>
      <c r="AQ41" s="15">
        <f ca="1">IFERROR(__xludf.DUMMYFUNCTION("IFNA(DATEDIF(AV91, MAX(FILTER(AY91:CN91 ,  AY91:CN91&lt;&gt;"""")), ""m""), """")"),26)</f>
        <v>26</v>
      </c>
      <c r="AR41" s="22">
        <v>45888</v>
      </c>
      <c r="AS41" s="19">
        <v>45811</v>
      </c>
      <c r="AT41" s="19"/>
      <c r="AU41" s="13" t="s">
        <v>103</v>
      </c>
      <c r="AV41" s="13">
        <v>3</v>
      </c>
    </row>
    <row r="42" spans="1:48" ht="15.75" customHeight="1" x14ac:dyDescent="0.2">
      <c r="A42" s="12">
        <v>1803686995</v>
      </c>
      <c r="B42" s="13">
        <v>1</v>
      </c>
      <c r="C42" s="13">
        <v>53</v>
      </c>
      <c r="D42" s="13">
        <v>2</v>
      </c>
      <c r="E42" s="13">
        <v>2</v>
      </c>
      <c r="F42" s="13">
        <v>1</v>
      </c>
      <c r="G42" s="14">
        <v>24.7</v>
      </c>
      <c r="H42" s="15">
        <v>1</v>
      </c>
      <c r="I42" s="16"/>
      <c r="J42" s="13">
        <v>1</v>
      </c>
      <c r="K42" s="15">
        <v>3</v>
      </c>
      <c r="L42" s="15"/>
      <c r="M42" s="13" t="s">
        <v>62</v>
      </c>
      <c r="N42" s="13">
        <v>1</v>
      </c>
      <c r="O42" s="13">
        <v>2</v>
      </c>
      <c r="P42" s="17"/>
      <c r="Q42" s="13">
        <v>2</v>
      </c>
      <c r="R42" s="13">
        <v>2</v>
      </c>
      <c r="S42" s="13">
        <v>2</v>
      </c>
      <c r="T42" s="13"/>
      <c r="U42" s="13"/>
      <c r="V42" s="14"/>
      <c r="W42" s="13"/>
      <c r="X42" s="13"/>
      <c r="Y42" s="15">
        <v>2</v>
      </c>
      <c r="Z42" s="15">
        <v>1</v>
      </c>
      <c r="AA42" s="15">
        <v>0</v>
      </c>
      <c r="AB42" s="15">
        <v>1</v>
      </c>
      <c r="AC42" s="15">
        <v>1</v>
      </c>
      <c r="AD42" s="15"/>
      <c r="AE42" s="15">
        <v>1</v>
      </c>
      <c r="AF42" s="15">
        <v>1</v>
      </c>
      <c r="AG42" s="13" t="s">
        <v>45</v>
      </c>
      <c r="AH42" s="13" t="s">
        <v>153</v>
      </c>
      <c r="AI42" s="13">
        <v>2</v>
      </c>
      <c r="AJ42" s="13" t="s">
        <v>83</v>
      </c>
      <c r="AK42" s="15">
        <v>2</v>
      </c>
      <c r="AL42" s="15"/>
      <c r="AM42" s="15"/>
      <c r="AN42" s="15"/>
      <c r="AO42" s="15"/>
      <c r="AP42" s="15"/>
      <c r="AQ42" s="15">
        <f ca="1">IFERROR(__xludf.DUMMYFUNCTION("IFNA(DATEDIF(AV73, MAX(FILTER(AY73:CN73 ,  AY73:CN73&lt;&gt;"""")), ""m""), """")"),26)</f>
        <v>26</v>
      </c>
      <c r="AR42" s="13" t="s">
        <v>66</v>
      </c>
      <c r="AS42" s="13" t="s">
        <v>110</v>
      </c>
      <c r="AT42" s="13"/>
      <c r="AU42" s="13" t="s">
        <v>66</v>
      </c>
      <c r="AV42" s="13">
        <v>1</v>
      </c>
    </row>
    <row r="43" spans="1:48" ht="15.75" customHeight="1" x14ac:dyDescent="0.2">
      <c r="A43" s="12">
        <v>1803434784</v>
      </c>
      <c r="B43" s="44">
        <v>1</v>
      </c>
      <c r="C43" s="44">
        <v>52</v>
      </c>
      <c r="D43" s="44">
        <v>2</v>
      </c>
      <c r="E43" s="44">
        <v>2</v>
      </c>
      <c r="F43" s="44">
        <v>2</v>
      </c>
      <c r="G43" s="45">
        <v>27.7</v>
      </c>
      <c r="H43" s="47">
        <v>1</v>
      </c>
      <c r="I43" s="16"/>
      <c r="J43" s="44">
        <v>1</v>
      </c>
      <c r="K43" s="47"/>
      <c r="L43" s="47"/>
      <c r="M43" s="44"/>
      <c r="N43" s="44">
        <v>1</v>
      </c>
      <c r="O43" s="44">
        <v>2</v>
      </c>
      <c r="P43" s="17"/>
      <c r="Q43" s="44">
        <v>2</v>
      </c>
      <c r="R43" s="44">
        <v>2</v>
      </c>
      <c r="S43" s="13">
        <v>2</v>
      </c>
      <c r="T43" s="44"/>
      <c r="U43" s="44"/>
      <c r="V43" s="45"/>
      <c r="W43" s="44"/>
      <c r="X43" s="44"/>
      <c r="Y43" s="47">
        <v>2</v>
      </c>
      <c r="Z43" s="47">
        <v>1</v>
      </c>
      <c r="AA43" s="47">
        <v>0</v>
      </c>
      <c r="AB43" s="47">
        <v>1</v>
      </c>
      <c r="AC43" s="47">
        <v>1</v>
      </c>
      <c r="AD43" s="47"/>
      <c r="AE43" s="47">
        <v>1</v>
      </c>
      <c r="AF43" s="47">
        <v>1</v>
      </c>
      <c r="AG43" s="44"/>
      <c r="AH43" s="44"/>
      <c r="AI43" s="44"/>
      <c r="AJ43" s="44"/>
      <c r="AK43" s="47">
        <v>2</v>
      </c>
      <c r="AL43" s="47"/>
      <c r="AM43" s="47"/>
      <c r="AN43" s="47"/>
      <c r="AO43" s="47"/>
      <c r="AP43" s="47"/>
      <c r="AQ43" s="15">
        <f ca="1">IFERROR(__xludf.DUMMYFUNCTION("IFNA(DATEDIF(AV70, MAX(FILTER(AY70:CN70 ,  AY70:CN70&lt;&gt;"""")), ""m""), """")"),26)</f>
        <v>26</v>
      </c>
      <c r="AR43" s="44" t="s">
        <v>130</v>
      </c>
      <c r="AS43" s="44" t="s">
        <v>51</v>
      </c>
      <c r="AT43" s="44"/>
      <c r="AU43" s="44"/>
      <c r="AV43" s="44">
        <v>1</v>
      </c>
    </row>
    <row r="44" spans="1:48" ht="15.75" customHeight="1" x14ac:dyDescent="0.2">
      <c r="A44" s="12">
        <v>1802234268</v>
      </c>
      <c r="B44" s="13">
        <v>1</v>
      </c>
      <c r="C44" s="13">
        <v>57</v>
      </c>
      <c r="D44" s="13">
        <v>2</v>
      </c>
      <c r="E44" s="13">
        <v>2</v>
      </c>
      <c r="F44" s="13">
        <v>2</v>
      </c>
      <c r="G44" s="19">
        <v>45838</v>
      </c>
      <c r="H44" s="15">
        <v>1</v>
      </c>
      <c r="I44" s="16"/>
      <c r="J44" s="13">
        <v>1</v>
      </c>
      <c r="K44" s="15">
        <v>1</v>
      </c>
      <c r="L44" s="15"/>
      <c r="M44" s="19">
        <v>45689</v>
      </c>
      <c r="N44" s="13">
        <v>1</v>
      </c>
      <c r="O44" s="13">
        <v>1</v>
      </c>
      <c r="P44" s="17"/>
      <c r="Q44" s="13">
        <v>2</v>
      </c>
      <c r="R44" s="13">
        <v>2</v>
      </c>
      <c r="S44" s="13">
        <v>2</v>
      </c>
      <c r="T44" s="13">
        <v>8</v>
      </c>
      <c r="U44" s="13">
        <v>0</v>
      </c>
      <c r="V44" s="14">
        <f>(U44/T44)*100</f>
        <v>0</v>
      </c>
      <c r="W44" s="13"/>
      <c r="X44" s="13"/>
      <c r="Y44" s="15">
        <v>1</v>
      </c>
      <c r="Z44" s="15">
        <v>1</v>
      </c>
      <c r="AA44" s="15">
        <v>0</v>
      </c>
      <c r="AB44" s="15">
        <v>1</v>
      </c>
      <c r="AC44" s="15">
        <v>1</v>
      </c>
      <c r="AD44" s="15"/>
      <c r="AE44" s="15">
        <v>1</v>
      </c>
      <c r="AF44" s="15">
        <v>1</v>
      </c>
      <c r="AG44" s="22" t="s">
        <v>183</v>
      </c>
      <c r="AH44" s="13" t="s">
        <v>51</v>
      </c>
      <c r="AI44" s="13">
        <v>2</v>
      </c>
      <c r="AJ44" s="13">
        <v>12</v>
      </c>
      <c r="AK44" s="15">
        <v>2</v>
      </c>
      <c r="AL44" s="15"/>
      <c r="AM44" s="15"/>
      <c r="AN44" s="15"/>
      <c r="AO44" s="15"/>
      <c r="AP44" s="15"/>
      <c r="AQ44" s="15">
        <f ca="1">IFERROR(__xludf.DUMMYFUNCTION("IFNA(DATEDIF(AV44, MAX(FILTER(AY44:CN44 ,  AY44:CN44&lt;&gt;"""")), ""m""), """")"),27)</f>
        <v>27</v>
      </c>
      <c r="AR44" s="13" t="s">
        <v>132</v>
      </c>
      <c r="AS44" s="13" t="s">
        <v>45</v>
      </c>
      <c r="AT44" s="13">
        <v>2</v>
      </c>
      <c r="AU44" s="13">
        <v>12</v>
      </c>
      <c r="AV44" s="13">
        <v>1</v>
      </c>
    </row>
    <row r="45" spans="1:48" ht="15.75" customHeight="1" x14ac:dyDescent="0.2">
      <c r="A45" s="12">
        <v>1803783917</v>
      </c>
      <c r="B45" s="13">
        <v>1</v>
      </c>
      <c r="C45" s="13">
        <v>40</v>
      </c>
      <c r="D45" s="13">
        <v>2</v>
      </c>
      <c r="E45" s="13">
        <v>2</v>
      </c>
      <c r="F45" s="13">
        <v>2</v>
      </c>
      <c r="G45" s="19">
        <v>45867</v>
      </c>
      <c r="H45" s="15">
        <v>1</v>
      </c>
      <c r="I45" s="16"/>
      <c r="J45" s="13">
        <v>1</v>
      </c>
      <c r="K45" s="15">
        <v>1</v>
      </c>
      <c r="L45" s="15"/>
      <c r="M45" s="19">
        <v>45717</v>
      </c>
      <c r="N45" s="13">
        <v>1</v>
      </c>
      <c r="O45" s="13">
        <v>2</v>
      </c>
      <c r="P45" s="17"/>
      <c r="Q45" s="13">
        <v>2</v>
      </c>
      <c r="R45" s="13">
        <v>2</v>
      </c>
      <c r="S45" s="13">
        <v>2</v>
      </c>
      <c r="T45" s="13"/>
      <c r="U45" s="13"/>
      <c r="V45" s="14"/>
      <c r="W45" s="13"/>
      <c r="X45" s="13"/>
      <c r="Y45" s="15">
        <v>2</v>
      </c>
      <c r="Z45" s="15">
        <v>1</v>
      </c>
      <c r="AA45" s="15">
        <v>0</v>
      </c>
      <c r="AB45" s="15">
        <v>1</v>
      </c>
      <c r="AC45" s="15">
        <v>1</v>
      </c>
      <c r="AD45" s="15"/>
      <c r="AE45" s="15">
        <v>1</v>
      </c>
      <c r="AF45" s="15">
        <v>1</v>
      </c>
      <c r="AG45" s="13" t="s">
        <v>154</v>
      </c>
      <c r="AH45" s="13"/>
      <c r="AI45" s="13"/>
      <c r="AJ45" s="13"/>
      <c r="AK45" s="15">
        <v>2</v>
      </c>
      <c r="AL45" s="15"/>
      <c r="AM45" s="15"/>
      <c r="AN45" s="15"/>
      <c r="AO45" s="15"/>
      <c r="AP45" s="15"/>
      <c r="AQ45" s="15">
        <f ca="1">IFERROR(__xludf.DUMMYFUNCTION("IFNA(DATEDIF(AV75, MAX(FILTER(AY75:CN75 ,  AY75:CN75&lt;&gt;"""")), ""m""), """")"),27)</f>
        <v>27</v>
      </c>
      <c r="AR45" s="19">
        <v>45812</v>
      </c>
      <c r="AS45" s="13"/>
      <c r="AT45" s="13"/>
      <c r="AU45" s="13"/>
      <c r="AV45" s="13">
        <v>1</v>
      </c>
    </row>
    <row r="46" spans="1:48" ht="15.75" customHeight="1" x14ac:dyDescent="0.2">
      <c r="A46" s="12">
        <v>1802599603</v>
      </c>
      <c r="B46" s="13">
        <v>1</v>
      </c>
      <c r="C46" s="13">
        <v>39</v>
      </c>
      <c r="D46" s="13">
        <v>2</v>
      </c>
      <c r="E46" s="13">
        <v>2</v>
      </c>
      <c r="F46" s="13">
        <v>2</v>
      </c>
      <c r="G46" s="19">
        <v>45773</v>
      </c>
      <c r="H46" s="15">
        <v>1</v>
      </c>
      <c r="I46" s="16"/>
      <c r="J46" s="13">
        <v>1</v>
      </c>
      <c r="K46" s="15">
        <v>1</v>
      </c>
      <c r="L46" s="15"/>
      <c r="M46" s="19">
        <v>45718</v>
      </c>
      <c r="N46" s="13">
        <v>3</v>
      </c>
      <c r="O46" s="13">
        <v>1</v>
      </c>
      <c r="P46" s="17"/>
      <c r="Q46" s="13">
        <v>1</v>
      </c>
      <c r="R46" s="13">
        <v>2</v>
      </c>
      <c r="S46" s="13">
        <v>2</v>
      </c>
      <c r="T46" s="13"/>
      <c r="U46" s="13"/>
      <c r="V46" s="14"/>
      <c r="W46" s="13"/>
      <c r="X46" s="13"/>
      <c r="Y46" s="15">
        <v>2</v>
      </c>
      <c r="Z46" s="15">
        <v>4</v>
      </c>
      <c r="AA46" s="15">
        <v>0</v>
      </c>
      <c r="AB46" s="15">
        <v>1</v>
      </c>
      <c r="AC46" s="15">
        <v>3</v>
      </c>
      <c r="AD46" s="13"/>
      <c r="AE46" s="15">
        <v>3</v>
      </c>
      <c r="AF46" s="15">
        <v>4</v>
      </c>
      <c r="AG46" s="13" t="s">
        <v>68</v>
      </c>
      <c r="AH46" s="13" t="s">
        <v>45</v>
      </c>
      <c r="AI46" s="13">
        <v>2</v>
      </c>
      <c r="AJ46" s="13" t="s">
        <v>115</v>
      </c>
      <c r="AK46" s="15">
        <v>1</v>
      </c>
      <c r="AL46" s="15">
        <v>100</v>
      </c>
      <c r="AM46" s="15"/>
      <c r="AN46" s="15"/>
      <c r="AO46" s="15"/>
      <c r="AP46" s="15"/>
      <c r="AQ46" s="15">
        <f ca="1">IFERROR(__xludf.DUMMYFUNCTION("IFNA(DATEDIF(AV56, MAX(FILTER(AY56:CN56 ,  AY56:CN56&lt;&gt;"""")), ""m""), """")"),28)</f>
        <v>28</v>
      </c>
      <c r="AR46" s="13" t="s">
        <v>45</v>
      </c>
      <c r="AS46" s="13" t="s">
        <v>69</v>
      </c>
      <c r="AT46" s="13">
        <v>2</v>
      </c>
      <c r="AU46" s="13">
        <v>10</v>
      </c>
      <c r="AV46" s="13">
        <v>1</v>
      </c>
    </row>
    <row r="47" spans="1:48" ht="15.75" customHeight="1" x14ac:dyDescent="0.2">
      <c r="A47" s="12">
        <v>1802425981</v>
      </c>
      <c r="B47" s="44">
        <v>1</v>
      </c>
      <c r="C47" s="44">
        <v>29</v>
      </c>
      <c r="D47" s="44">
        <v>2</v>
      </c>
      <c r="E47" s="44">
        <v>2</v>
      </c>
      <c r="F47" s="44">
        <v>2</v>
      </c>
      <c r="G47" s="44" t="s">
        <v>135</v>
      </c>
      <c r="H47" s="47">
        <v>1</v>
      </c>
      <c r="I47" s="16"/>
      <c r="J47" s="44">
        <v>1</v>
      </c>
      <c r="K47" s="47">
        <v>1</v>
      </c>
      <c r="L47" s="47"/>
      <c r="M47" s="46">
        <v>45718</v>
      </c>
      <c r="N47" s="44">
        <v>1</v>
      </c>
      <c r="O47" s="44">
        <v>1</v>
      </c>
      <c r="P47" s="17"/>
      <c r="Q47" s="44">
        <v>2</v>
      </c>
      <c r="R47" s="44">
        <v>2</v>
      </c>
      <c r="S47" s="13">
        <v>2</v>
      </c>
      <c r="T47" s="44">
        <v>12</v>
      </c>
      <c r="U47" s="44">
        <v>0</v>
      </c>
      <c r="V47" s="14">
        <f>(U47/T47)*100</f>
        <v>0</v>
      </c>
      <c r="W47" s="44"/>
      <c r="X47" s="44"/>
      <c r="Y47" s="47">
        <v>1</v>
      </c>
      <c r="Z47" s="47">
        <v>2</v>
      </c>
      <c r="AA47" s="47">
        <v>1</v>
      </c>
      <c r="AB47" s="47">
        <v>1</v>
      </c>
      <c r="AC47" s="47">
        <v>1</v>
      </c>
      <c r="AD47" s="47"/>
      <c r="AE47" s="15">
        <v>1</v>
      </c>
      <c r="AF47" s="15">
        <v>1</v>
      </c>
      <c r="AG47" s="44" t="s">
        <v>45</v>
      </c>
      <c r="AH47" s="44" t="s">
        <v>61</v>
      </c>
      <c r="AI47" s="44">
        <v>2</v>
      </c>
      <c r="AJ47" s="44" t="s">
        <v>136</v>
      </c>
      <c r="AK47" s="47">
        <v>2</v>
      </c>
      <c r="AL47" s="47"/>
      <c r="AM47" s="47"/>
      <c r="AN47" s="47"/>
      <c r="AO47" s="47"/>
      <c r="AP47" s="47"/>
      <c r="AQ47" s="15">
        <f ca="1">IFERROR(__xludf.DUMMYFUNCTION("IFNA(DATEDIF(AV49, MAX(FILTER(AY49:CN49 ,  AY49:CN49&lt;&gt;"""")), ""m""), """")"),28)</f>
        <v>28</v>
      </c>
      <c r="AR47" s="44" t="s">
        <v>77</v>
      </c>
      <c r="AS47" s="44" t="s">
        <v>69</v>
      </c>
      <c r="AT47" s="44">
        <v>2</v>
      </c>
      <c r="AU47" s="44" t="s">
        <v>103</v>
      </c>
      <c r="AV47" s="44">
        <v>1</v>
      </c>
    </row>
    <row r="48" spans="1:48" ht="15.75" customHeight="1" x14ac:dyDescent="0.2">
      <c r="A48" s="12">
        <v>1803262540</v>
      </c>
      <c r="B48" s="13">
        <v>1</v>
      </c>
      <c r="C48" s="13">
        <v>20</v>
      </c>
      <c r="D48" s="13">
        <v>2</v>
      </c>
      <c r="E48" s="13">
        <v>2</v>
      </c>
      <c r="F48" s="13">
        <v>1</v>
      </c>
      <c r="G48" s="14">
        <v>25</v>
      </c>
      <c r="H48" s="15">
        <v>1</v>
      </c>
      <c r="I48" s="16"/>
      <c r="J48" s="13">
        <v>1</v>
      </c>
      <c r="K48" s="15">
        <v>1</v>
      </c>
      <c r="L48" s="15"/>
      <c r="M48" s="13"/>
      <c r="N48" s="13">
        <v>1</v>
      </c>
      <c r="O48" s="13">
        <v>2</v>
      </c>
      <c r="P48" s="17"/>
      <c r="Q48" s="13">
        <v>1</v>
      </c>
      <c r="R48" s="13">
        <v>2</v>
      </c>
      <c r="S48" s="13">
        <v>2</v>
      </c>
      <c r="T48" s="13"/>
      <c r="U48" s="13"/>
      <c r="V48" s="14"/>
      <c r="W48" s="13"/>
      <c r="X48" s="13"/>
      <c r="Y48" s="15">
        <v>2</v>
      </c>
      <c r="Z48" s="15">
        <v>2</v>
      </c>
      <c r="AA48" s="47">
        <v>0</v>
      </c>
      <c r="AB48" s="15">
        <v>1</v>
      </c>
      <c r="AC48" s="15">
        <v>1</v>
      </c>
      <c r="AD48" s="15"/>
      <c r="AE48" s="15">
        <v>2</v>
      </c>
      <c r="AF48" s="15">
        <v>3</v>
      </c>
      <c r="AG48" s="15" t="s">
        <v>92</v>
      </c>
      <c r="AH48" s="15" t="s">
        <v>89</v>
      </c>
      <c r="AI48" s="15"/>
      <c r="AJ48" s="15"/>
      <c r="AK48" s="15">
        <v>2</v>
      </c>
      <c r="AL48" s="15"/>
      <c r="AM48" s="15"/>
      <c r="AN48" s="15"/>
      <c r="AO48" s="15"/>
      <c r="AP48" s="15"/>
      <c r="AQ48" s="15">
        <f ca="1">IFERROR(__xludf.DUMMYFUNCTION("IFNA(DATEDIF(AV66, MAX(FILTER(AY66:CN66 ,  AY66:CN66&lt;&gt;"""")), ""m""), """")"),28)</f>
        <v>28</v>
      </c>
      <c r="AR48" s="15" t="s">
        <v>91</v>
      </c>
      <c r="AS48" s="15" t="s">
        <v>51</v>
      </c>
      <c r="AT48" s="15"/>
      <c r="AU48" s="15" t="s">
        <v>49</v>
      </c>
      <c r="AV48" s="15">
        <v>1</v>
      </c>
    </row>
    <row r="49" spans="1:48" ht="15.75" customHeight="1" x14ac:dyDescent="0.2">
      <c r="A49" s="18">
        <v>1802951556</v>
      </c>
      <c r="B49" s="32">
        <v>1</v>
      </c>
      <c r="C49" s="32">
        <v>53</v>
      </c>
      <c r="D49" s="32">
        <v>2</v>
      </c>
      <c r="E49" s="32">
        <v>2</v>
      </c>
      <c r="F49" s="32">
        <v>1</v>
      </c>
      <c r="G49" s="35">
        <v>29.9</v>
      </c>
      <c r="H49" s="40">
        <v>1</v>
      </c>
      <c r="I49" s="21"/>
      <c r="J49" s="32">
        <v>1</v>
      </c>
      <c r="K49" s="40">
        <v>1</v>
      </c>
      <c r="L49" s="40"/>
      <c r="M49" s="38">
        <v>45690</v>
      </c>
      <c r="N49" s="32">
        <v>1</v>
      </c>
      <c r="O49" s="32">
        <v>1</v>
      </c>
      <c r="P49" s="20"/>
      <c r="Q49" s="32">
        <v>2</v>
      </c>
      <c r="R49" s="32">
        <v>2</v>
      </c>
      <c r="S49" s="13">
        <v>2</v>
      </c>
      <c r="T49" s="32"/>
      <c r="U49" s="32"/>
      <c r="V49" s="35"/>
      <c r="W49" s="32"/>
      <c r="X49" s="32"/>
      <c r="Y49" s="40">
        <v>2</v>
      </c>
      <c r="Z49" s="40">
        <v>2</v>
      </c>
      <c r="AA49" s="40">
        <v>0</v>
      </c>
      <c r="AB49" s="40">
        <v>1</v>
      </c>
      <c r="AC49" s="40">
        <v>1</v>
      </c>
      <c r="AD49" s="40"/>
      <c r="AE49" s="40">
        <v>1</v>
      </c>
      <c r="AF49" s="15">
        <v>1</v>
      </c>
      <c r="AG49" s="32" t="s">
        <v>146</v>
      </c>
      <c r="AH49" s="32" t="s">
        <v>60</v>
      </c>
      <c r="AI49" s="32">
        <v>1</v>
      </c>
      <c r="AJ49" s="32">
        <v>126</v>
      </c>
      <c r="AK49" s="40">
        <v>2</v>
      </c>
      <c r="AL49" s="40"/>
      <c r="AM49" s="40"/>
      <c r="AN49" s="40"/>
      <c r="AO49" s="40"/>
      <c r="AP49" s="40"/>
      <c r="AQ49" s="15">
        <f ca="1">IFERROR(__xludf.DUMMYFUNCTION("IFNA(DATEDIF(AV64, MAX(FILTER(AY64:CN64 ,  AY64:CN64&lt;&gt;"""")), ""m""), """")"),29)</f>
        <v>29</v>
      </c>
      <c r="AR49" s="32" t="s">
        <v>84</v>
      </c>
      <c r="AS49" s="32" t="s">
        <v>104</v>
      </c>
      <c r="AT49" s="32"/>
      <c r="AU49" s="32">
        <v>32</v>
      </c>
      <c r="AV49" s="32">
        <v>2</v>
      </c>
    </row>
    <row r="50" spans="1:48" ht="15.75" customHeight="1" x14ac:dyDescent="0.2">
      <c r="A50" s="31">
        <v>1803406519</v>
      </c>
      <c r="B50" s="44">
        <v>1</v>
      </c>
      <c r="C50" s="44">
        <v>48</v>
      </c>
      <c r="D50" s="44">
        <v>2</v>
      </c>
      <c r="E50" s="44">
        <v>2</v>
      </c>
      <c r="F50" s="44">
        <v>1</v>
      </c>
      <c r="G50" s="45">
        <v>29.3</v>
      </c>
      <c r="H50" s="47">
        <v>1</v>
      </c>
      <c r="I50" s="16"/>
      <c r="J50" s="44">
        <v>1</v>
      </c>
      <c r="K50" s="47">
        <v>3</v>
      </c>
      <c r="L50" s="47"/>
      <c r="M50" s="44" t="s">
        <v>62</v>
      </c>
      <c r="N50" s="44">
        <v>1</v>
      </c>
      <c r="O50" s="44">
        <v>2</v>
      </c>
      <c r="P50" s="17"/>
      <c r="Q50" s="44">
        <v>2</v>
      </c>
      <c r="R50" s="44">
        <v>2</v>
      </c>
      <c r="S50" s="13">
        <v>2</v>
      </c>
      <c r="T50" s="44"/>
      <c r="U50" s="44"/>
      <c r="V50" s="45"/>
      <c r="W50" s="44"/>
      <c r="X50" s="44"/>
      <c r="Y50" s="47">
        <v>2</v>
      </c>
      <c r="Z50" s="47">
        <v>1</v>
      </c>
      <c r="AA50" s="47">
        <v>0</v>
      </c>
      <c r="AB50" s="47">
        <v>1</v>
      </c>
      <c r="AC50" s="47">
        <v>1</v>
      </c>
      <c r="AD50" s="47"/>
      <c r="AE50" s="47">
        <v>1</v>
      </c>
      <c r="AF50" s="15">
        <v>1</v>
      </c>
      <c r="AG50" s="44" t="s">
        <v>45</v>
      </c>
      <c r="AH50" s="44" t="s">
        <v>148</v>
      </c>
      <c r="AI50" s="44">
        <v>2</v>
      </c>
      <c r="AJ50" s="44" t="s">
        <v>64</v>
      </c>
      <c r="AK50" s="47">
        <v>2</v>
      </c>
      <c r="AL50" s="47"/>
      <c r="AM50" s="47"/>
      <c r="AN50" s="47"/>
      <c r="AO50" s="47"/>
      <c r="AP50" s="47"/>
      <c r="AQ50" s="15">
        <f ca="1">IFERROR(__xludf.DUMMYFUNCTION("IFNA(DATEDIF(AV67, MAX(FILTER(AY67:CN67 ,  AY67:CN67&lt;&gt;"""")), ""m""), """")"),29)</f>
        <v>29</v>
      </c>
      <c r="AR50" s="46">
        <v>45718</v>
      </c>
      <c r="AS50" s="44" t="s">
        <v>59</v>
      </c>
      <c r="AT50" s="44"/>
      <c r="AU50" s="44" t="s">
        <v>83</v>
      </c>
      <c r="AV50" s="44">
        <v>1</v>
      </c>
    </row>
    <row r="51" spans="1:48" ht="15.75" customHeight="1" x14ac:dyDescent="0.2">
      <c r="A51" s="12">
        <v>1802031961</v>
      </c>
      <c r="B51" s="33">
        <v>1</v>
      </c>
      <c r="C51" s="33">
        <v>62</v>
      </c>
      <c r="D51" s="33">
        <v>2</v>
      </c>
      <c r="E51" s="33">
        <v>2</v>
      </c>
      <c r="F51" s="33">
        <v>2</v>
      </c>
      <c r="G51" s="37">
        <v>45922</v>
      </c>
      <c r="H51" s="30">
        <v>1</v>
      </c>
      <c r="I51" s="16"/>
      <c r="J51" s="33">
        <v>1</v>
      </c>
      <c r="K51" s="30">
        <v>5</v>
      </c>
      <c r="L51" s="30"/>
      <c r="M51" s="37">
        <v>45689</v>
      </c>
      <c r="N51" s="33">
        <v>1</v>
      </c>
      <c r="O51" s="33">
        <v>1</v>
      </c>
      <c r="P51" s="17"/>
      <c r="Q51" s="33">
        <v>2</v>
      </c>
      <c r="R51" s="33">
        <v>2</v>
      </c>
      <c r="S51" s="13">
        <v>2</v>
      </c>
      <c r="T51" s="33"/>
      <c r="U51" s="33"/>
      <c r="V51" s="36"/>
      <c r="W51" s="33"/>
      <c r="X51" s="33"/>
      <c r="Y51" s="30">
        <v>2</v>
      </c>
      <c r="Z51" s="30">
        <v>1</v>
      </c>
      <c r="AA51" s="30">
        <v>0</v>
      </c>
      <c r="AB51" s="30">
        <v>1</v>
      </c>
      <c r="AC51" s="30">
        <v>1</v>
      </c>
      <c r="AD51" s="30"/>
      <c r="AE51" s="15">
        <v>2</v>
      </c>
      <c r="AF51" s="15">
        <v>3</v>
      </c>
      <c r="AG51" s="33" t="s">
        <v>47</v>
      </c>
      <c r="AH51" s="33" t="s">
        <v>65</v>
      </c>
      <c r="AI51" s="33">
        <v>2</v>
      </c>
      <c r="AJ51" s="33" t="s">
        <v>119</v>
      </c>
      <c r="AK51" s="30">
        <v>2</v>
      </c>
      <c r="AL51" s="30"/>
      <c r="AM51" s="30"/>
      <c r="AN51" s="30"/>
      <c r="AO51" s="30"/>
      <c r="AP51" s="30"/>
      <c r="AQ51" s="15">
        <f ca="1">IFERROR(__xludf.DUMMYFUNCTION("IFNA(DATEDIF(AV34, MAX(FILTER(AY34:CN34 ,  AY34:CN34&lt;&gt;"""")), ""m""), """")"),29)</f>
        <v>29</v>
      </c>
      <c r="AR51" s="33" t="s">
        <v>69</v>
      </c>
      <c r="AS51" s="33" t="s">
        <v>70</v>
      </c>
      <c r="AT51" s="33">
        <v>1</v>
      </c>
      <c r="AU51" s="33" t="s">
        <v>120</v>
      </c>
      <c r="AV51" s="33">
        <v>3</v>
      </c>
    </row>
    <row r="52" spans="1:48" ht="15.75" customHeight="1" x14ac:dyDescent="0.2">
      <c r="A52" s="18">
        <v>1803415858</v>
      </c>
      <c r="B52" s="32">
        <v>1</v>
      </c>
      <c r="C52" s="32">
        <v>55</v>
      </c>
      <c r="D52" s="32">
        <v>2</v>
      </c>
      <c r="E52" s="32">
        <v>2</v>
      </c>
      <c r="F52" s="32">
        <v>1</v>
      </c>
      <c r="G52" s="35">
        <v>29.3</v>
      </c>
      <c r="H52" s="40">
        <v>1</v>
      </c>
      <c r="I52" s="21"/>
      <c r="J52" s="32">
        <v>1</v>
      </c>
      <c r="K52" s="40">
        <v>1</v>
      </c>
      <c r="L52" s="40"/>
      <c r="M52" s="32" t="s">
        <v>62</v>
      </c>
      <c r="N52" s="32">
        <v>1</v>
      </c>
      <c r="O52" s="32">
        <v>1</v>
      </c>
      <c r="P52" s="20"/>
      <c r="Q52" s="32">
        <v>2</v>
      </c>
      <c r="R52" s="32">
        <v>2</v>
      </c>
      <c r="S52" s="13">
        <v>2</v>
      </c>
      <c r="T52" s="32"/>
      <c r="U52" s="32"/>
      <c r="V52" s="35"/>
      <c r="W52" s="32"/>
      <c r="X52" s="32"/>
      <c r="Y52" s="40">
        <v>2</v>
      </c>
      <c r="Z52" s="40">
        <v>1</v>
      </c>
      <c r="AA52" s="40">
        <v>0</v>
      </c>
      <c r="AB52" s="40">
        <v>1</v>
      </c>
      <c r="AC52" s="40">
        <v>1</v>
      </c>
      <c r="AD52" s="40"/>
      <c r="AE52" s="40">
        <v>1</v>
      </c>
      <c r="AF52" s="15">
        <v>1</v>
      </c>
      <c r="AG52" s="32" t="s">
        <v>77</v>
      </c>
      <c r="AH52" s="32" t="s">
        <v>73</v>
      </c>
      <c r="AI52" s="32">
        <v>1</v>
      </c>
      <c r="AJ52" s="38">
        <v>45894</v>
      </c>
      <c r="AK52" s="40">
        <v>2</v>
      </c>
      <c r="AL52" s="40"/>
      <c r="AM52" s="40"/>
      <c r="AN52" s="40"/>
      <c r="AO52" s="40"/>
      <c r="AP52" s="40"/>
      <c r="AQ52" s="15">
        <f ca="1">IFERROR(__xludf.DUMMYFUNCTION("IFNA(DATEDIF(AV68, MAX(FILTER(AY68:CN68 ,  AY68:CN68&lt;&gt;"""")), ""m""), """")"),30)</f>
        <v>30</v>
      </c>
      <c r="AR52" s="38">
        <v>45717</v>
      </c>
      <c r="AS52" s="32" t="s">
        <v>59</v>
      </c>
      <c r="AT52" s="32"/>
      <c r="AU52" s="38">
        <v>45732</v>
      </c>
      <c r="AV52" s="20">
        <v>1</v>
      </c>
    </row>
    <row r="53" spans="1:48" ht="15.75" customHeight="1" x14ac:dyDescent="0.2">
      <c r="A53" s="12">
        <v>1803660305</v>
      </c>
      <c r="B53" s="33">
        <v>1</v>
      </c>
      <c r="C53" s="33">
        <v>31</v>
      </c>
      <c r="D53" s="33">
        <v>2</v>
      </c>
      <c r="E53" s="33">
        <v>2</v>
      </c>
      <c r="F53" s="33">
        <v>1</v>
      </c>
      <c r="G53" s="33">
        <v>24.1</v>
      </c>
      <c r="H53" s="30">
        <v>2</v>
      </c>
      <c r="I53" s="16"/>
      <c r="J53" s="33">
        <v>2</v>
      </c>
      <c r="K53" s="30"/>
      <c r="L53" s="30">
        <v>1</v>
      </c>
      <c r="M53" s="33" t="s">
        <v>62</v>
      </c>
      <c r="N53" s="33">
        <v>1</v>
      </c>
      <c r="O53" s="33">
        <v>2</v>
      </c>
      <c r="P53" s="17"/>
      <c r="Q53" s="33">
        <v>1</v>
      </c>
      <c r="R53" s="33">
        <v>2</v>
      </c>
      <c r="S53" s="13">
        <v>2</v>
      </c>
      <c r="T53" s="33">
        <v>86</v>
      </c>
      <c r="U53" s="33">
        <v>0</v>
      </c>
      <c r="V53" s="36">
        <f>(U53/T53)*100</f>
        <v>0</v>
      </c>
      <c r="W53" s="33"/>
      <c r="X53" s="33">
        <v>2</v>
      </c>
      <c r="Y53" s="30">
        <v>2</v>
      </c>
      <c r="Z53" s="30">
        <v>1</v>
      </c>
      <c r="AA53" s="30">
        <v>0</v>
      </c>
      <c r="AB53" s="30">
        <v>1</v>
      </c>
      <c r="AC53" s="30"/>
      <c r="AD53" s="30"/>
      <c r="AE53" s="30">
        <v>1</v>
      </c>
      <c r="AF53" s="15">
        <v>1</v>
      </c>
      <c r="AG53" s="30"/>
      <c r="AH53" s="33">
        <v>0.12</v>
      </c>
      <c r="AI53" s="33">
        <v>2</v>
      </c>
      <c r="AJ53" s="30">
        <v>37.4</v>
      </c>
      <c r="AK53" s="30">
        <v>1</v>
      </c>
      <c r="AL53" s="30">
        <v>100</v>
      </c>
      <c r="AM53" s="30">
        <v>80</v>
      </c>
      <c r="AN53" s="30">
        <v>1.68</v>
      </c>
      <c r="AO53" s="30">
        <v>2</v>
      </c>
      <c r="AP53" s="30">
        <v>25.6</v>
      </c>
      <c r="AQ53" s="15">
        <f ca="1">IFERROR(__xludf.DUMMYFUNCTION("IFNA(DATEDIF(AV72, MAX(FILTER(AY72:CN72 ,  AY72:CN72&lt;&gt;"""")), ""m""), """")"),30)</f>
        <v>30</v>
      </c>
      <c r="AR53" s="30" t="s">
        <v>140</v>
      </c>
      <c r="AS53" s="33">
        <v>0.03</v>
      </c>
      <c r="AT53" s="30">
        <v>2</v>
      </c>
      <c r="AU53" s="58">
        <v>45757</v>
      </c>
      <c r="AV53" s="30">
        <v>1</v>
      </c>
    </row>
    <row r="54" spans="1:48" ht="15.75" customHeight="1" x14ac:dyDescent="0.2">
      <c r="A54" s="12">
        <v>1802506053</v>
      </c>
      <c r="B54" s="44">
        <v>1</v>
      </c>
      <c r="C54" s="44">
        <v>35</v>
      </c>
      <c r="D54" s="44">
        <v>2</v>
      </c>
      <c r="E54" s="44">
        <v>2</v>
      </c>
      <c r="F54" s="44">
        <v>2</v>
      </c>
      <c r="G54" s="44">
        <v>32.9</v>
      </c>
      <c r="H54" s="47">
        <v>1</v>
      </c>
      <c r="I54" s="16"/>
      <c r="J54" s="44">
        <v>1</v>
      </c>
      <c r="K54" s="47">
        <v>2</v>
      </c>
      <c r="L54" s="47"/>
      <c r="M54" s="46">
        <v>45689</v>
      </c>
      <c r="N54" s="44">
        <v>1</v>
      </c>
      <c r="O54" s="44">
        <v>1</v>
      </c>
      <c r="P54" s="17"/>
      <c r="Q54" s="44">
        <v>2</v>
      </c>
      <c r="R54" s="44">
        <v>2</v>
      </c>
      <c r="S54" s="13">
        <v>1</v>
      </c>
      <c r="T54" s="44">
        <v>1</v>
      </c>
      <c r="U54" s="44">
        <v>1</v>
      </c>
      <c r="V54" s="45">
        <f>(U54/T54)*100</f>
        <v>100</v>
      </c>
      <c r="W54" s="44" t="s">
        <v>110</v>
      </c>
      <c r="X54" s="44">
        <v>2</v>
      </c>
      <c r="Y54" s="47">
        <v>2</v>
      </c>
      <c r="Z54" s="47">
        <v>1</v>
      </c>
      <c r="AA54" s="47">
        <v>1</v>
      </c>
      <c r="AB54" s="47">
        <v>1</v>
      </c>
      <c r="AC54" s="47">
        <v>1</v>
      </c>
      <c r="AD54" s="47"/>
      <c r="AE54" s="47">
        <v>1</v>
      </c>
      <c r="AF54" s="15">
        <v>1</v>
      </c>
      <c r="AG54" s="44" t="s">
        <v>138</v>
      </c>
      <c r="AH54" s="44" t="s">
        <v>45</v>
      </c>
      <c r="AI54" s="44">
        <v>2</v>
      </c>
      <c r="AJ54" s="44" t="s">
        <v>85</v>
      </c>
      <c r="AK54" s="47">
        <v>2</v>
      </c>
      <c r="AL54" s="47"/>
      <c r="AM54" s="47"/>
      <c r="AN54" s="47"/>
      <c r="AO54" s="47"/>
      <c r="AP54" s="47"/>
      <c r="AQ54" s="15">
        <f ca="1">IFERROR(__xludf.DUMMYFUNCTION("IFNA(DATEDIF(AV52, MAX(FILTER(AY52:CN52 ,  AY52:CN52&lt;&gt;"""")), ""m""), """")"),30)</f>
        <v>30</v>
      </c>
      <c r="AR54" s="44" t="s">
        <v>45</v>
      </c>
      <c r="AS54" s="44" t="s">
        <v>45</v>
      </c>
      <c r="AT54" s="44">
        <v>2</v>
      </c>
      <c r="AU54" s="44" t="s">
        <v>136</v>
      </c>
      <c r="AV54" s="44">
        <v>1</v>
      </c>
    </row>
    <row r="55" spans="1:48" ht="15.75" customHeight="1" x14ac:dyDescent="0.2">
      <c r="A55" s="30">
        <v>1802711968</v>
      </c>
      <c r="B55" s="44">
        <v>1</v>
      </c>
      <c r="C55" s="44">
        <v>46</v>
      </c>
      <c r="D55" s="44">
        <v>2</v>
      </c>
      <c r="E55" s="44">
        <v>2</v>
      </c>
      <c r="F55" s="44">
        <v>1</v>
      </c>
      <c r="G55" s="45">
        <v>28.9</v>
      </c>
      <c r="H55" s="47">
        <v>3</v>
      </c>
      <c r="I55" s="16"/>
      <c r="J55" s="44">
        <v>1</v>
      </c>
      <c r="K55" s="47">
        <v>1</v>
      </c>
      <c r="L55" s="47"/>
      <c r="M55" s="46">
        <v>45689</v>
      </c>
      <c r="N55" s="44">
        <v>1</v>
      </c>
      <c r="O55" s="44">
        <v>2</v>
      </c>
      <c r="P55" s="17"/>
      <c r="Q55" s="44">
        <v>2</v>
      </c>
      <c r="R55" s="44">
        <v>2</v>
      </c>
      <c r="S55" s="13">
        <v>2</v>
      </c>
      <c r="T55" s="44"/>
      <c r="U55" s="44"/>
      <c r="V55" s="45"/>
      <c r="W55" s="44"/>
      <c r="X55" s="44"/>
      <c r="Y55" s="47">
        <v>2</v>
      </c>
      <c r="Z55" s="47">
        <v>1</v>
      </c>
      <c r="AA55" s="47">
        <v>0</v>
      </c>
      <c r="AB55" s="47">
        <v>1</v>
      </c>
      <c r="AC55" s="47">
        <v>1</v>
      </c>
      <c r="AD55" s="47"/>
      <c r="AE55" s="47">
        <v>1</v>
      </c>
      <c r="AF55" s="15">
        <v>1</v>
      </c>
      <c r="AG55" s="57" t="s">
        <v>141</v>
      </c>
      <c r="AH55" s="44"/>
      <c r="AI55" s="57"/>
      <c r="AJ55" s="44"/>
      <c r="AK55" s="47">
        <v>2</v>
      </c>
      <c r="AL55" s="47"/>
      <c r="AM55" s="47"/>
      <c r="AN55" s="47"/>
      <c r="AO55" s="47"/>
      <c r="AP55" s="47"/>
      <c r="AQ55" s="15">
        <f ca="1">IFERROR(__xludf.DUMMYFUNCTION("IFNA(DATEDIF(AV58, MAX(FILTER(AY58:CN58 ,  AY58:CN58&lt;&gt;"""")), ""m""), """")"),31)</f>
        <v>31</v>
      </c>
      <c r="AR55" s="46">
        <v>45812</v>
      </c>
      <c r="AS55" s="44"/>
      <c r="AT55" s="44"/>
      <c r="AU55" s="44"/>
      <c r="AV55" s="44">
        <v>1</v>
      </c>
    </row>
    <row r="56" spans="1:48" ht="15.75" customHeight="1" x14ac:dyDescent="0.2">
      <c r="A56" s="12">
        <v>1802161065</v>
      </c>
      <c r="B56" s="33">
        <v>1</v>
      </c>
      <c r="C56" s="33">
        <v>44</v>
      </c>
      <c r="D56" s="33">
        <v>2</v>
      </c>
      <c r="E56" s="33">
        <v>2</v>
      </c>
      <c r="F56" s="33">
        <v>1</v>
      </c>
      <c r="G56" s="33" t="s">
        <v>127</v>
      </c>
      <c r="H56" s="30">
        <v>1</v>
      </c>
      <c r="I56" s="16"/>
      <c r="J56" s="33">
        <v>1</v>
      </c>
      <c r="K56" s="30">
        <v>3</v>
      </c>
      <c r="L56" s="30"/>
      <c r="M56" s="37">
        <v>45839</v>
      </c>
      <c r="N56" s="33">
        <v>1</v>
      </c>
      <c r="O56" s="33">
        <v>2</v>
      </c>
      <c r="P56" s="17"/>
      <c r="Q56" s="33">
        <v>2</v>
      </c>
      <c r="R56" s="33">
        <v>2</v>
      </c>
      <c r="S56" s="13">
        <v>2</v>
      </c>
      <c r="T56" s="33"/>
      <c r="U56" s="33"/>
      <c r="V56" s="36"/>
      <c r="W56" s="33"/>
      <c r="X56" s="33"/>
      <c r="Y56" s="30">
        <v>2</v>
      </c>
      <c r="Z56" s="30">
        <v>1</v>
      </c>
      <c r="AA56" s="30">
        <v>0</v>
      </c>
      <c r="AB56" s="30">
        <v>1</v>
      </c>
      <c r="AC56" s="30">
        <v>1</v>
      </c>
      <c r="AD56" s="30"/>
      <c r="AE56" s="30">
        <v>2</v>
      </c>
      <c r="AF56" s="15">
        <v>2</v>
      </c>
      <c r="AG56" s="33" t="s">
        <v>86</v>
      </c>
      <c r="AH56" s="33" t="s">
        <v>69</v>
      </c>
      <c r="AI56" s="33">
        <v>2</v>
      </c>
      <c r="AJ56" s="33" t="s">
        <v>49</v>
      </c>
      <c r="AK56" s="30">
        <v>2</v>
      </c>
      <c r="AL56" s="30"/>
      <c r="AM56" s="30"/>
      <c r="AN56" s="30"/>
      <c r="AO56" s="30"/>
      <c r="AP56" s="30"/>
      <c r="AQ56" s="15">
        <f ca="1">IFERROR(__xludf.DUMMYFUNCTION("IFNA(DATEDIF(AV41, MAX(FILTER(AY41:CN41 ,  AY41:CN41&lt;&gt;"""")), ""m""), """")"),31)</f>
        <v>31</v>
      </c>
      <c r="AR56" s="33" t="s">
        <v>47</v>
      </c>
      <c r="AS56" s="33" t="s">
        <v>60</v>
      </c>
      <c r="AT56" s="33">
        <v>2</v>
      </c>
      <c r="AU56" s="33" t="s">
        <v>103</v>
      </c>
      <c r="AV56" s="33">
        <v>1</v>
      </c>
    </row>
    <row r="57" spans="1:48" ht="15.75" customHeight="1" x14ac:dyDescent="0.2">
      <c r="A57" s="12">
        <v>1802895399</v>
      </c>
      <c r="B57" s="13">
        <v>1</v>
      </c>
      <c r="C57" s="13">
        <v>23</v>
      </c>
      <c r="D57" s="13">
        <v>2</v>
      </c>
      <c r="E57" s="13">
        <v>2</v>
      </c>
      <c r="F57" s="13">
        <v>1</v>
      </c>
      <c r="G57" s="13">
        <v>27.2</v>
      </c>
      <c r="H57" s="15">
        <v>2</v>
      </c>
      <c r="I57" s="16"/>
      <c r="J57" s="13">
        <v>1</v>
      </c>
      <c r="K57" s="15">
        <v>1</v>
      </c>
      <c r="L57" s="15"/>
      <c r="M57" s="13" t="s">
        <v>62</v>
      </c>
      <c r="N57" s="13">
        <v>1</v>
      </c>
      <c r="O57" s="13">
        <v>1</v>
      </c>
      <c r="P57" s="17"/>
      <c r="Q57" s="13">
        <v>2</v>
      </c>
      <c r="R57" s="13">
        <v>2</v>
      </c>
      <c r="S57" s="13">
        <v>2</v>
      </c>
      <c r="T57" s="13"/>
      <c r="U57" s="13"/>
      <c r="V57" s="14"/>
      <c r="W57" s="13"/>
      <c r="X57" s="13"/>
      <c r="Y57" s="15">
        <v>2</v>
      </c>
      <c r="Z57" s="15">
        <v>1</v>
      </c>
      <c r="AA57" s="15">
        <v>0</v>
      </c>
      <c r="AB57" s="15">
        <v>1</v>
      </c>
      <c r="AC57" s="15">
        <v>1</v>
      </c>
      <c r="AD57" s="15"/>
      <c r="AE57" s="15">
        <v>1</v>
      </c>
      <c r="AF57" s="15">
        <v>1</v>
      </c>
      <c r="AG57" s="13" t="s">
        <v>143</v>
      </c>
      <c r="AH57" s="13"/>
      <c r="AI57" s="13"/>
      <c r="AJ57" s="13"/>
      <c r="AK57" s="15">
        <v>2</v>
      </c>
      <c r="AL57" s="15"/>
      <c r="AM57" s="15"/>
      <c r="AN57" s="15"/>
      <c r="AO57" s="15"/>
      <c r="AP57" s="15"/>
      <c r="AQ57" s="15">
        <f ca="1">IFERROR(__xludf.DUMMYFUNCTION("IFNA(DATEDIF(AV62, MAX(FILTER(AY62:CN62 ,  AY62:CN62&lt;&gt;"""")), ""m""), """")"),31)</f>
        <v>31</v>
      </c>
      <c r="AR57" s="13" t="s">
        <v>144</v>
      </c>
      <c r="AS57" s="13"/>
      <c r="AT57" s="13"/>
      <c r="AU57" s="13"/>
      <c r="AV57" s="15">
        <v>1</v>
      </c>
    </row>
    <row r="58" spans="1:48" ht="15.75" customHeight="1" x14ac:dyDescent="0.2">
      <c r="A58" s="12">
        <v>1801982347</v>
      </c>
      <c r="B58" s="44">
        <v>1</v>
      </c>
      <c r="C58" s="44">
        <v>24</v>
      </c>
      <c r="D58" s="44">
        <v>2</v>
      </c>
      <c r="E58" s="44">
        <v>2</v>
      </c>
      <c r="F58" s="44">
        <v>2</v>
      </c>
      <c r="G58" s="46">
        <v>45805</v>
      </c>
      <c r="H58" s="47">
        <v>2</v>
      </c>
      <c r="I58" s="16"/>
      <c r="J58" s="44">
        <v>1</v>
      </c>
      <c r="K58" s="47">
        <v>1</v>
      </c>
      <c r="L58" s="47"/>
      <c r="M58" s="44" t="s">
        <v>44</v>
      </c>
      <c r="N58" s="44">
        <v>1</v>
      </c>
      <c r="O58" s="44">
        <v>2</v>
      </c>
      <c r="P58" s="17"/>
      <c r="Q58" s="44">
        <v>2</v>
      </c>
      <c r="R58" s="44">
        <v>2</v>
      </c>
      <c r="S58" s="13">
        <v>2</v>
      </c>
      <c r="T58" s="44"/>
      <c r="U58" s="44"/>
      <c r="V58" s="45"/>
      <c r="W58" s="44"/>
      <c r="X58" s="44"/>
      <c r="Y58" s="47">
        <v>1</v>
      </c>
      <c r="Z58" s="47">
        <v>1</v>
      </c>
      <c r="AA58" s="47">
        <v>0</v>
      </c>
      <c r="AB58" s="47">
        <v>1</v>
      </c>
      <c r="AC58" s="47">
        <v>1</v>
      </c>
      <c r="AD58" s="47"/>
      <c r="AE58" s="47">
        <v>1</v>
      </c>
      <c r="AF58" s="15">
        <v>1</v>
      </c>
      <c r="AG58" s="46">
        <v>45689</v>
      </c>
      <c r="AH58" s="44" t="s">
        <v>45</v>
      </c>
      <c r="AI58" s="44">
        <v>2</v>
      </c>
      <c r="AJ58" s="44" t="s">
        <v>98</v>
      </c>
      <c r="AK58" s="47">
        <v>2</v>
      </c>
      <c r="AL58" s="47"/>
      <c r="AM58" s="47"/>
      <c r="AN58" s="47"/>
      <c r="AO58" s="47"/>
      <c r="AP58" s="47"/>
      <c r="AQ58" s="15">
        <f ca="1">IFERROR(__xludf.DUMMYFUNCTION("IFNA(DATEDIF(AV31, MAX(FILTER(AY31:CN31 ,  AY31:CN31&lt;&gt;"""")), ""m""), """")"),32)</f>
        <v>32</v>
      </c>
      <c r="AR58" s="44" t="s">
        <v>116</v>
      </c>
      <c r="AS58" s="44" t="s">
        <v>69</v>
      </c>
      <c r="AT58" s="44">
        <v>2</v>
      </c>
      <c r="AU58" s="44" t="s">
        <v>45</v>
      </c>
      <c r="AV58" s="44">
        <v>1</v>
      </c>
    </row>
    <row r="59" spans="1:48" ht="15.75" customHeight="1" x14ac:dyDescent="0.2">
      <c r="A59" s="12">
        <v>1803438223</v>
      </c>
      <c r="B59" s="44">
        <v>1</v>
      </c>
      <c r="C59" s="44">
        <v>31</v>
      </c>
      <c r="D59" s="44">
        <v>2</v>
      </c>
      <c r="E59" s="44">
        <v>2</v>
      </c>
      <c r="F59" s="44">
        <v>1</v>
      </c>
      <c r="G59" s="46">
        <v>45683</v>
      </c>
      <c r="H59" s="47">
        <v>2</v>
      </c>
      <c r="I59" s="16"/>
      <c r="J59" s="44">
        <v>1</v>
      </c>
      <c r="K59" s="47">
        <v>1</v>
      </c>
      <c r="L59" s="48"/>
      <c r="M59" s="44" t="s">
        <v>74</v>
      </c>
      <c r="N59" s="44">
        <v>1</v>
      </c>
      <c r="O59" s="44">
        <v>1</v>
      </c>
      <c r="P59" s="17"/>
      <c r="Q59" s="44">
        <v>2</v>
      </c>
      <c r="R59" s="44">
        <v>2</v>
      </c>
      <c r="S59" s="13">
        <v>2</v>
      </c>
      <c r="T59" s="44"/>
      <c r="U59" s="44"/>
      <c r="V59" s="45"/>
      <c r="W59" s="44"/>
      <c r="X59" s="44"/>
      <c r="Y59" s="47">
        <v>2</v>
      </c>
      <c r="Z59" s="47">
        <v>1</v>
      </c>
      <c r="AA59" s="47">
        <v>0</v>
      </c>
      <c r="AB59" s="47">
        <v>1</v>
      </c>
      <c r="AC59" s="47">
        <v>1</v>
      </c>
      <c r="AD59" s="47"/>
      <c r="AE59" s="47">
        <v>1</v>
      </c>
      <c r="AF59" s="15">
        <v>1</v>
      </c>
      <c r="AG59" s="44" t="s">
        <v>152</v>
      </c>
      <c r="AH59" s="44"/>
      <c r="AI59" s="44"/>
      <c r="AJ59" s="44"/>
      <c r="AK59" s="47">
        <v>2</v>
      </c>
      <c r="AL59" s="47"/>
      <c r="AM59" s="47"/>
      <c r="AN59" s="47"/>
      <c r="AO59" s="47"/>
      <c r="AP59" s="47"/>
      <c r="AQ59" s="15">
        <f ca="1">IFERROR(__xludf.DUMMYFUNCTION("IFNA(DATEDIF(AV71, MAX(FILTER(AY71:CN71 ,  AY71:CN71&lt;&gt;"""")), ""m""), """")"),32)</f>
        <v>32</v>
      </c>
      <c r="AR59" s="51" t="s">
        <v>185</v>
      </c>
      <c r="AS59" s="44" t="s">
        <v>59</v>
      </c>
      <c r="AT59" s="44"/>
      <c r="AU59" s="44"/>
      <c r="AV59" s="44">
        <v>1</v>
      </c>
    </row>
    <row r="60" spans="1:48" ht="15.75" customHeight="1" x14ac:dyDescent="0.2">
      <c r="A60" s="12">
        <v>1802027175</v>
      </c>
      <c r="B60" s="33">
        <v>2</v>
      </c>
      <c r="C60" s="33">
        <v>30</v>
      </c>
      <c r="D60" s="33">
        <v>2</v>
      </c>
      <c r="E60" s="33">
        <v>2</v>
      </c>
      <c r="F60" s="33">
        <v>2</v>
      </c>
      <c r="G60" s="37">
        <v>45856</v>
      </c>
      <c r="H60" s="30">
        <v>1</v>
      </c>
      <c r="I60" s="16"/>
      <c r="J60" s="33">
        <v>1</v>
      </c>
      <c r="K60" s="30">
        <v>1</v>
      </c>
      <c r="L60" s="30"/>
      <c r="M60" s="33" t="s">
        <v>62</v>
      </c>
      <c r="N60" s="33">
        <v>1</v>
      </c>
      <c r="O60" s="33">
        <v>1</v>
      </c>
      <c r="P60" s="17"/>
      <c r="Q60" s="33">
        <v>2</v>
      </c>
      <c r="R60" s="33">
        <v>2</v>
      </c>
      <c r="S60" s="13">
        <v>2</v>
      </c>
      <c r="T60" s="33"/>
      <c r="U60" s="33"/>
      <c r="V60" s="36"/>
      <c r="W60" s="33"/>
      <c r="X60" s="33"/>
      <c r="Y60" s="30">
        <v>2</v>
      </c>
      <c r="Z60" s="30">
        <v>1</v>
      </c>
      <c r="AA60" s="30">
        <v>0</v>
      </c>
      <c r="AB60" s="30">
        <v>1</v>
      </c>
      <c r="AC60" s="30">
        <v>1</v>
      </c>
      <c r="AD60" s="30"/>
      <c r="AE60" s="30">
        <v>1</v>
      </c>
      <c r="AF60" s="15">
        <v>1</v>
      </c>
      <c r="AG60" s="33" t="s">
        <v>117</v>
      </c>
      <c r="AH60" s="33" t="s">
        <v>45</v>
      </c>
      <c r="AI60" s="33">
        <v>2</v>
      </c>
      <c r="AJ60" s="33">
        <v>14</v>
      </c>
      <c r="AK60" s="30">
        <v>2</v>
      </c>
      <c r="AL60" s="30"/>
      <c r="AM60" s="30"/>
      <c r="AN60" s="30"/>
      <c r="AO60" s="30"/>
      <c r="AP60" s="30"/>
      <c r="AQ60" s="15">
        <f ca="1">IFERROR(__xludf.DUMMYFUNCTION("IFNA(DATEDIF(AV32, MAX(FILTER(AY32:CN32 ,  AY32:CN32&lt;&gt;"""")), ""m""), """")"),33)</f>
        <v>33</v>
      </c>
      <c r="AR60" s="33" t="s">
        <v>45</v>
      </c>
      <c r="AS60" s="33" t="s">
        <v>45</v>
      </c>
      <c r="AT60" s="33">
        <v>2</v>
      </c>
      <c r="AU60" s="33">
        <v>14</v>
      </c>
      <c r="AV60" s="33">
        <v>1</v>
      </c>
    </row>
    <row r="61" spans="1:48" ht="15.75" customHeight="1" x14ac:dyDescent="0.2">
      <c r="A61" s="12">
        <v>1802895415</v>
      </c>
      <c r="B61" s="44">
        <v>1</v>
      </c>
      <c r="C61" s="44">
        <v>24</v>
      </c>
      <c r="D61" s="44">
        <v>2</v>
      </c>
      <c r="E61" s="44">
        <v>2</v>
      </c>
      <c r="F61" s="44">
        <v>1</v>
      </c>
      <c r="G61" s="44" t="s">
        <v>145</v>
      </c>
      <c r="H61" s="47">
        <v>2</v>
      </c>
      <c r="I61" s="16"/>
      <c r="J61" s="44">
        <v>1</v>
      </c>
      <c r="K61" s="47">
        <v>1</v>
      </c>
      <c r="L61" s="47"/>
      <c r="M61" s="46">
        <v>45778</v>
      </c>
      <c r="N61" s="44">
        <v>1</v>
      </c>
      <c r="O61" s="44">
        <v>1</v>
      </c>
      <c r="P61" s="17"/>
      <c r="Q61" s="44">
        <v>1</v>
      </c>
      <c r="R61" s="44">
        <v>1</v>
      </c>
      <c r="S61" s="13">
        <v>1</v>
      </c>
      <c r="T61" s="44">
        <v>12</v>
      </c>
      <c r="U61" s="44">
        <v>6</v>
      </c>
      <c r="V61" s="45">
        <f>(U61/T61)*100</f>
        <v>50</v>
      </c>
      <c r="W61" s="44" t="s">
        <v>115</v>
      </c>
      <c r="X61" s="44">
        <v>2</v>
      </c>
      <c r="Y61" s="47">
        <v>2</v>
      </c>
      <c r="Z61" s="47">
        <v>1</v>
      </c>
      <c r="AA61" s="47">
        <v>1</v>
      </c>
      <c r="AB61" s="47">
        <v>1</v>
      </c>
      <c r="AC61" s="47">
        <v>1</v>
      </c>
      <c r="AD61" s="47"/>
      <c r="AE61" s="47">
        <v>1</v>
      </c>
      <c r="AF61" s="15">
        <v>1</v>
      </c>
      <c r="AG61" s="51" t="s">
        <v>184</v>
      </c>
      <c r="AH61" s="44" t="s">
        <v>112</v>
      </c>
      <c r="AI61" s="44">
        <v>2</v>
      </c>
      <c r="AJ61" s="44">
        <v>13</v>
      </c>
      <c r="AK61" s="47">
        <v>1</v>
      </c>
      <c r="AL61" s="47">
        <v>100</v>
      </c>
      <c r="AM61" s="47"/>
      <c r="AN61" s="47"/>
      <c r="AO61" s="47"/>
      <c r="AP61" s="47"/>
      <c r="AQ61" s="15">
        <f ca="1">IFERROR(__xludf.DUMMYFUNCTION("IFNA(DATEDIF(AV63, MAX(FILTER(AY63:CN63 ,  AY63:CN63&lt;&gt;"""")), ""m""), """")"),34)</f>
        <v>34</v>
      </c>
      <c r="AR61" s="51" t="s">
        <v>186</v>
      </c>
      <c r="AS61" s="44" t="s">
        <v>45</v>
      </c>
      <c r="AT61" s="44">
        <v>2</v>
      </c>
      <c r="AU61" s="44">
        <v>11</v>
      </c>
      <c r="AV61" s="44">
        <v>1</v>
      </c>
    </row>
    <row r="62" spans="1:48" ht="15.75" customHeight="1" x14ac:dyDescent="0.2">
      <c r="A62" s="21">
        <v>603151556</v>
      </c>
      <c r="B62" s="32">
        <v>1</v>
      </c>
      <c r="C62" s="32">
        <v>57</v>
      </c>
      <c r="D62" s="32">
        <v>2</v>
      </c>
      <c r="E62" s="32">
        <v>2</v>
      </c>
      <c r="F62" s="32">
        <v>2</v>
      </c>
      <c r="G62" s="35">
        <v>27.7</v>
      </c>
      <c r="H62" s="40">
        <v>1</v>
      </c>
      <c r="I62" s="21"/>
      <c r="J62" s="32">
        <v>1</v>
      </c>
      <c r="K62" s="40">
        <v>1</v>
      </c>
      <c r="L62" s="40"/>
      <c r="M62" s="32" t="s">
        <v>44</v>
      </c>
      <c r="N62" s="32">
        <v>1</v>
      </c>
      <c r="O62" s="32">
        <v>1</v>
      </c>
      <c r="P62" s="20"/>
      <c r="Q62" s="32">
        <v>2</v>
      </c>
      <c r="R62" s="32">
        <v>2</v>
      </c>
      <c r="S62" s="13">
        <v>2</v>
      </c>
      <c r="T62" s="32"/>
      <c r="U62" s="32"/>
      <c r="V62" s="35"/>
      <c r="W62" s="32"/>
      <c r="X62" s="32"/>
      <c r="Y62" s="40">
        <v>2</v>
      </c>
      <c r="Z62" s="40">
        <v>1</v>
      </c>
      <c r="AA62" s="40">
        <v>0</v>
      </c>
      <c r="AB62" s="40">
        <v>1</v>
      </c>
      <c r="AC62" s="40">
        <v>1</v>
      </c>
      <c r="AD62" s="40"/>
      <c r="AE62" s="40">
        <v>1</v>
      </c>
      <c r="AF62" s="15">
        <v>1</v>
      </c>
      <c r="AG62" s="32" t="s">
        <v>51</v>
      </c>
      <c r="AH62" s="32" t="s">
        <v>47</v>
      </c>
      <c r="AI62" s="32">
        <v>1</v>
      </c>
      <c r="AJ62" s="32">
        <v>20</v>
      </c>
      <c r="AK62" s="40">
        <v>2</v>
      </c>
      <c r="AL62" s="40"/>
      <c r="AM62" s="40"/>
      <c r="AN62" s="40"/>
      <c r="AO62" s="40"/>
      <c r="AP62" s="40"/>
      <c r="AQ62" s="15">
        <f ca="1">IFERROR(__xludf.DUMMYFUNCTION("IFNA(DATEDIF(AV11, MAX(FILTER(AY11:CN11 ,  AY11:CN11&lt;&gt;"""")), ""m""), """")"),34)</f>
        <v>34</v>
      </c>
      <c r="AR62" s="32" t="s">
        <v>66</v>
      </c>
      <c r="AS62" s="32" t="s">
        <v>68</v>
      </c>
      <c r="AT62" s="32"/>
      <c r="AU62" s="32">
        <v>12</v>
      </c>
      <c r="AV62" s="32">
        <v>1</v>
      </c>
    </row>
    <row r="63" spans="1:48" ht="15.75" customHeight="1" x14ac:dyDescent="0.2">
      <c r="A63" s="23">
        <v>1802552164</v>
      </c>
      <c r="B63" s="13">
        <v>1</v>
      </c>
      <c r="C63" s="13">
        <v>49</v>
      </c>
      <c r="D63" s="13">
        <v>2</v>
      </c>
      <c r="E63" s="13">
        <v>2</v>
      </c>
      <c r="F63" s="13">
        <v>1</v>
      </c>
      <c r="G63" s="19">
        <v>45772</v>
      </c>
      <c r="H63" s="15">
        <v>1</v>
      </c>
      <c r="I63" s="16"/>
      <c r="J63" s="13">
        <v>1</v>
      </c>
      <c r="K63" s="15">
        <v>1</v>
      </c>
      <c r="L63" s="15"/>
      <c r="M63" s="13" t="s">
        <v>74</v>
      </c>
      <c r="N63" s="13">
        <v>1</v>
      </c>
      <c r="O63" s="13">
        <v>1</v>
      </c>
      <c r="P63" s="17"/>
      <c r="Q63" s="13">
        <v>2</v>
      </c>
      <c r="R63" s="13">
        <v>2</v>
      </c>
      <c r="S63" s="13">
        <v>2</v>
      </c>
      <c r="T63" s="13"/>
      <c r="U63" s="13"/>
      <c r="V63" s="14"/>
      <c r="W63" s="13"/>
      <c r="X63" s="13"/>
      <c r="Y63" s="15">
        <v>1</v>
      </c>
      <c r="Z63" s="15">
        <v>1</v>
      </c>
      <c r="AA63" s="15">
        <v>0</v>
      </c>
      <c r="AB63" s="15">
        <v>1</v>
      </c>
      <c r="AC63" s="15">
        <v>1</v>
      </c>
      <c r="AD63" s="13"/>
      <c r="AE63" s="15">
        <v>1</v>
      </c>
      <c r="AF63" s="15">
        <v>1</v>
      </c>
      <c r="AG63" s="13" t="s">
        <v>125</v>
      </c>
      <c r="AH63" s="13" t="s">
        <v>139</v>
      </c>
      <c r="AI63" s="13">
        <v>2</v>
      </c>
      <c r="AJ63" s="13">
        <v>15</v>
      </c>
      <c r="AK63" s="15">
        <v>2</v>
      </c>
      <c r="AL63" s="15"/>
      <c r="AM63" s="15"/>
      <c r="AN63" s="15"/>
      <c r="AO63" s="15"/>
      <c r="AP63" s="15"/>
      <c r="AQ63" s="15">
        <f ca="1">IFERROR(__xludf.DUMMYFUNCTION("IFNA(DATEDIF(AV54, MAX(FILTER(AY54:CN54 ,  AY54:CN54&lt;&gt;"""")), ""m""), """")"),34)</f>
        <v>34</v>
      </c>
      <c r="AR63" s="13" t="s">
        <v>49</v>
      </c>
      <c r="AS63" s="13" t="s">
        <v>95</v>
      </c>
      <c r="AT63" s="13">
        <v>2</v>
      </c>
      <c r="AU63" s="13">
        <v>13</v>
      </c>
      <c r="AV63" s="13">
        <v>4</v>
      </c>
    </row>
    <row r="64" spans="1:48" ht="15.75" customHeight="1" x14ac:dyDescent="0.2">
      <c r="A64" s="12">
        <v>1801709492</v>
      </c>
      <c r="B64" s="13">
        <v>1</v>
      </c>
      <c r="C64" s="13">
        <v>55</v>
      </c>
      <c r="D64" s="13">
        <v>2</v>
      </c>
      <c r="E64" s="13">
        <v>2</v>
      </c>
      <c r="F64" s="13">
        <v>1</v>
      </c>
      <c r="G64" s="19">
        <v>45896</v>
      </c>
      <c r="H64" s="15">
        <v>1</v>
      </c>
      <c r="I64" s="16"/>
      <c r="J64" s="13">
        <v>1</v>
      </c>
      <c r="K64" s="15">
        <v>1</v>
      </c>
      <c r="L64" s="15"/>
      <c r="M64" s="13" t="s">
        <v>44</v>
      </c>
      <c r="N64" s="13">
        <v>1</v>
      </c>
      <c r="O64" s="13">
        <v>1</v>
      </c>
      <c r="P64" s="17"/>
      <c r="Q64" s="13">
        <v>1</v>
      </c>
      <c r="R64" s="13">
        <v>1</v>
      </c>
      <c r="S64" s="13">
        <v>1</v>
      </c>
      <c r="T64" s="13">
        <v>8</v>
      </c>
      <c r="U64" s="13">
        <v>3</v>
      </c>
      <c r="V64" s="14">
        <f>(U64/T64)*100</f>
        <v>37.5</v>
      </c>
      <c r="W64" s="13" t="s">
        <v>79</v>
      </c>
      <c r="X64" s="13">
        <v>2</v>
      </c>
      <c r="Y64" s="15">
        <v>1</v>
      </c>
      <c r="Z64" s="15">
        <v>1</v>
      </c>
      <c r="AA64" s="15">
        <v>1</v>
      </c>
      <c r="AB64" s="15">
        <v>1</v>
      </c>
      <c r="AC64" s="15">
        <v>1</v>
      </c>
      <c r="AD64" s="15"/>
      <c r="AE64" s="15">
        <v>2</v>
      </c>
      <c r="AF64" s="15">
        <v>3</v>
      </c>
      <c r="AG64" s="13" t="s">
        <v>104</v>
      </c>
      <c r="AH64" s="13" t="s">
        <v>45</v>
      </c>
      <c r="AI64" s="13">
        <v>2</v>
      </c>
      <c r="AJ64" s="13">
        <v>10</v>
      </c>
      <c r="AK64" s="15">
        <v>1</v>
      </c>
      <c r="AL64" s="15">
        <v>100</v>
      </c>
      <c r="AM64" s="15"/>
      <c r="AN64" s="15"/>
      <c r="AO64" s="15"/>
      <c r="AP64" s="15"/>
      <c r="AQ64" s="15">
        <f ca="1">IFERROR(__xludf.DUMMYFUNCTION("IFNA(DATEDIF(AV23, MAX(FILTER(AY23:CN23 ,  AY23:CN23&lt;&gt;"""")), ""m""), """")"),35)</f>
        <v>35</v>
      </c>
      <c r="AR64" s="13" t="s">
        <v>60</v>
      </c>
      <c r="AS64" s="13" t="s">
        <v>45</v>
      </c>
      <c r="AT64" s="13">
        <v>2</v>
      </c>
      <c r="AU64" s="13">
        <v>14</v>
      </c>
      <c r="AV64" s="13">
        <v>1</v>
      </c>
    </row>
    <row r="65" spans="1:48" ht="15.75" customHeight="1" x14ac:dyDescent="0.2">
      <c r="A65" s="12">
        <v>1802199248</v>
      </c>
      <c r="B65" s="44">
        <v>1</v>
      </c>
      <c r="C65" s="44">
        <v>54</v>
      </c>
      <c r="D65" s="44">
        <v>2</v>
      </c>
      <c r="E65" s="44">
        <v>2</v>
      </c>
      <c r="F65" s="44">
        <v>2</v>
      </c>
      <c r="G65" s="44">
        <v>30.3</v>
      </c>
      <c r="H65" s="47">
        <v>1</v>
      </c>
      <c r="I65" s="16"/>
      <c r="J65" s="44">
        <v>1</v>
      </c>
      <c r="K65" s="47">
        <v>1</v>
      </c>
      <c r="L65" s="47"/>
      <c r="M65" s="44">
        <v>0.6</v>
      </c>
      <c r="N65" s="44">
        <v>1</v>
      </c>
      <c r="O65" s="44">
        <v>2</v>
      </c>
      <c r="P65" s="17"/>
      <c r="Q65" s="44">
        <v>2</v>
      </c>
      <c r="R65" s="44">
        <v>2</v>
      </c>
      <c r="S65" s="13">
        <v>2</v>
      </c>
      <c r="T65" s="44"/>
      <c r="U65" s="44"/>
      <c r="V65" s="45"/>
      <c r="W65" s="44"/>
      <c r="X65" s="44"/>
      <c r="Y65" s="47">
        <v>1</v>
      </c>
      <c r="Z65" s="47">
        <v>1</v>
      </c>
      <c r="AA65" s="47">
        <v>0</v>
      </c>
      <c r="AB65" s="47">
        <v>1</v>
      </c>
      <c r="AC65" s="47"/>
      <c r="AD65" s="47"/>
      <c r="AE65" s="47">
        <v>1</v>
      </c>
      <c r="AF65" s="15">
        <v>1</v>
      </c>
      <c r="AG65" s="44">
        <v>0.1</v>
      </c>
      <c r="AH65" s="44">
        <v>0.6</v>
      </c>
      <c r="AI65" s="44">
        <v>2</v>
      </c>
      <c r="AJ65" s="44">
        <v>10</v>
      </c>
      <c r="AK65" s="47">
        <v>2</v>
      </c>
      <c r="AL65" s="47"/>
      <c r="AM65" s="47"/>
      <c r="AN65" s="47"/>
      <c r="AO65" s="47"/>
      <c r="AP65" s="47"/>
      <c r="AQ65" s="15">
        <f ca="1">IFERROR(__xludf.DUMMYFUNCTION("IFNA(DATEDIF(AV42, MAX(FILTER(AY42:CN42 ,  AY42:CN42&lt;&gt;"""")), ""m""), """")"),35)</f>
        <v>35</v>
      </c>
      <c r="AR65" s="44">
        <v>0.1</v>
      </c>
      <c r="AS65" s="44">
        <v>0.2</v>
      </c>
      <c r="AT65" s="44">
        <v>2</v>
      </c>
      <c r="AU65" s="44">
        <v>15</v>
      </c>
      <c r="AV65" s="44">
        <v>1</v>
      </c>
    </row>
    <row r="66" spans="1:48" ht="15.75" customHeight="1" x14ac:dyDescent="0.2">
      <c r="A66" s="30">
        <v>1802064608</v>
      </c>
      <c r="B66" s="32">
        <v>1</v>
      </c>
      <c r="C66" s="32">
        <v>48</v>
      </c>
      <c r="D66" s="32">
        <v>2</v>
      </c>
      <c r="E66" s="32">
        <v>2</v>
      </c>
      <c r="F66" s="32">
        <v>1</v>
      </c>
      <c r="G66" s="35" t="s">
        <v>121</v>
      </c>
      <c r="H66" s="40">
        <v>1</v>
      </c>
      <c r="I66" s="21"/>
      <c r="J66" s="32">
        <v>1</v>
      </c>
      <c r="K66" s="40">
        <v>13</v>
      </c>
      <c r="L66" s="40"/>
      <c r="M66" s="32"/>
      <c r="N66" s="32">
        <v>1</v>
      </c>
      <c r="O66" s="32">
        <v>2</v>
      </c>
      <c r="P66" s="20"/>
      <c r="Q66" s="32">
        <v>2</v>
      </c>
      <c r="R66" s="32">
        <v>2</v>
      </c>
      <c r="S66" s="13">
        <v>1</v>
      </c>
      <c r="T66" s="32"/>
      <c r="U66" s="32">
        <v>3</v>
      </c>
      <c r="V66" s="14"/>
      <c r="W66" s="32"/>
      <c r="X66" s="32"/>
      <c r="Y66" s="40">
        <v>2</v>
      </c>
      <c r="Z66" s="40">
        <v>1</v>
      </c>
      <c r="AA66" s="40">
        <v>0</v>
      </c>
      <c r="AB66" s="40">
        <v>1</v>
      </c>
      <c r="AC66" s="40">
        <v>1</v>
      </c>
      <c r="AD66" s="40"/>
      <c r="AE66" s="15">
        <v>1</v>
      </c>
      <c r="AF66" s="15">
        <v>1</v>
      </c>
      <c r="AG66" s="32"/>
      <c r="AH66" s="32"/>
      <c r="AI66" s="32"/>
      <c r="AJ66" s="32"/>
      <c r="AK66" s="40">
        <v>2</v>
      </c>
      <c r="AL66" s="40"/>
      <c r="AM66" s="40"/>
      <c r="AN66" s="40"/>
      <c r="AO66" s="40"/>
      <c r="AP66" s="40"/>
      <c r="AQ66" s="15">
        <f ca="1">IFERROR(__xludf.DUMMYFUNCTION("IFNA(DATEDIF(AV35, MAX(FILTER(AY35:CN35 ,  AY35:CN35&lt;&gt;"""")), ""m""), """")"),36)</f>
        <v>36</v>
      </c>
      <c r="AR66" s="32" t="s">
        <v>51</v>
      </c>
      <c r="AS66" s="32" t="s">
        <v>46</v>
      </c>
      <c r="AT66" s="32"/>
      <c r="AU66" s="32">
        <v>10</v>
      </c>
      <c r="AV66" s="32">
        <v>3</v>
      </c>
    </row>
    <row r="67" spans="1:48" ht="15.75" customHeight="1" x14ac:dyDescent="0.2">
      <c r="A67" s="12">
        <v>1802480754</v>
      </c>
      <c r="B67" s="13">
        <v>2</v>
      </c>
      <c r="C67" s="13">
        <v>52</v>
      </c>
      <c r="D67" s="13">
        <v>2</v>
      </c>
      <c r="E67" s="13">
        <v>2</v>
      </c>
      <c r="F67" s="13">
        <v>1</v>
      </c>
      <c r="G67" s="19">
        <v>45688</v>
      </c>
      <c r="H67" s="15">
        <v>1</v>
      </c>
      <c r="I67" s="16"/>
      <c r="J67" s="13">
        <v>1</v>
      </c>
      <c r="K67" s="15">
        <v>2</v>
      </c>
      <c r="L67" s="15">
        <v>1</v>
      </c>
      <c r="M67" s="13" t="s">
        <v>74</v>
      </c>
      <c r="N67" s="13">
        <v>1</v>
      </c>
      <c r="O67" s="13">
        <v>1</v>
      </c>
      <c r="P67" s="17"/>
      <c r="Q67" s="13">
        <v>2</v>
      </c>
      <c r="R67" s="13">
        <v>2</v>
      </c>
      <c r="S67" s="13">
        <v>2</v>
      </c>
      <c r="T67" s="13"/>
      <c r="U67" s="13"/>
      <c r="V67" s="14"/>
      <c r="W67" s="13"/>
      <c r="X67" s="13"/>
      <c r="Y67" s="15">
        <v>2</v>
      </c>
      <c r="Z67" s="15">
        <v>1</v>
      </c>
      <c r="AA67" s="15">
        <v>0</v>
      </c>
      <c r="AB67" s="15">
        <v>1</v>
      </c>
      <c r="AC67" s="15">
        <v>1</v>
      </c>
      <c r="AD67" s="15"/>
      <c r="AE67" s="15">
        <v>1</v>
      </c>
      <c r="AF67" s="15">
        <v>1</v>
      </c>
      <c r="AG67" s="22" t="s">
        <v>184</v>
      </c>
      <c r="AH67" s="13" t="s">
        <v>45</v>
      </c>
      <c r="AI67" s="13">
        <v>1</v>
      </c>
      <c r="AJ67" s="13">
        <v>139</v>
      </c>
      <c r="AK67" s="15">
        <v>2</v>
      </c>
      <c r="AL67" s="15"/>
      <c r="AM67" s="15"/>
      <c r="AN67" s="15"/>
      <c r="AO67" s="15"/>
      <c r="AP67" s="15"/>
      <c r="AQ67" s="15">
        <f ca="1">IFERROR(__xludf.DUMMYFUNCTION("IFNA(DATEDIF(AV51, MAX(FILTER(AY51:CN51 ,  AY51:CN51&lt;&gt;"""")), ""m""), """")"),36)</f>
        <v>36</v>
      </c>
      <c r="AR67" s="13" t="s">
        <v>137</v>
      </c>
      <c r="AS67" s="13" t="s">
        <v>45</v>
      </c>
      <c r="AT67" s="13">
        <v>2</v>
      </c>
      <c r="AU67" s="13" t="s">
        <v>49</v>
      </c>
      <c r="AV67" s="15">
        <v>1</v>
      </c>
    </row>
    <row r="68" spans="1:48" ht="15.75" customHeight="1" x14ac:dyDescent="0.2">
      <c r="A68" s="12">
        <v>1800947028</v>
      </c>
      <c r="B68" s="13">
        <v>1</v>
      </c>
      <c r="C68" s="13">
        <v>46</v>
      </c>
      <c r="D68" s="13">
        <v>2</v>
      </c>
      <c r="E68" s="13">
        <v>2</v>
      </c>
      <c r="F68" s="13">
        <v>1</v>
      </c>
      <c r="G68" s="19">
        <v>45895</v>
      </c>
      <c r="H68" s="15">
        <v>1</v>
      </c>
      <c r="I68" s="16"/>
      <c r="J68" s="13">
        <v>1</v>
      </c>
      <c r="K68" s="15">
        <v>1</v>
      </c>
      <c r="L68" s="15"/>
      <c r="M68" s="19">
        <v>45748</v>
      </c>
      <c r="N68" s="13">
        <v>1</v>
      </c>
      <c r="O68" s="13">
        <v>2</v>
      </c>
      <c r="P68" s="17"/>
      <c r="Q68" s="13">
        <v>2</v>
      </c>
      <c r="R68" s="13">
        <v>2</v>
      </c>
      <c r="S68" s="13">
        <v>2</v>
      </c>
      <c r="T68" s="13"/>
      <c r="U68" s="13"/>
      <c r="V68" s="14"/>
      <c r="W68" s="13"/>
      <c r="X68" s="13"/>
      <c r="Y68" s="15">
        <v>2</v>
      </c>
      <c r="Z68" s="15">
        <v>1</v>
      </c>
      <c r="AA68" s="30">
        <v>0</v>
      </c>
      <c r="AB68" s="15">
        <v>1</v>
      </c>
      <c r="AC68" s="15">
        <v>1</v>
      </c>
      <c r="AD68" s="15"/>
      <c r="AE68" s="15">
        <v>2</v>
      </c>
      <c r="AF68" s="15">
        <v>3</v>
      </c>
      <c r="AG68" s="13" t="s">
        <v>97</v>
      </c>
      <c r="AH68" s="13" t="s">
        <v>45</v>
      </c>
      <c r="AI68" s="13">
        <v>2</v>
      </c>
      <c r="AJ68" s="13" t="s">
        <v>50</v>
      </c>
      <c r="AK68" s="15">
        <v>2</v>
      </c>
      <c r="AL68" s="15"/>
      <c r="AM68" s="15"/>
      <c r="AN68" s="15"/>
      <c r="AO68" s="15"/>
      <c r="AP68" s="15"/>
      <c r="AQ68" s="15">
        <f ca="1">IFERROR(__xludf.DUMMYFUNCTION("IFNA(DATEDIF(AV17, MAX(FILTER(AY17:CN17 ,  AY17:CN17&lt;&gt;"""")), ""m""), """")"),36)</f>
        <v>36</v>
      </c>
      <c r="AR68" s="13" t="s">
        <v>95</v>
      </c>
      <c r="AS68" s="13" t="s">
        <v>45</v>
      </c>
      <c r="AT68" s="13">
        <v>2</v>
      </c>
      <c r="AU68" s="13" t="s">
        <v>53</v>
      </c>
      <c r="AV68" s="44">
        <v>1</v>
      </c>
    </row>
    <row r="69" spans="1:48" ht="15.75" customHeight="1" x14ac:dyDescent="0.2">
      <c r="A69" s="12">
        <v>56521265</v>
      </c>
      <c r="B69" s="44">
        <v>1</v>
      </c>
      <c r="C69" s="44">
        <v>43</v>
      </c>
      <c r="D69" s="44">
        <v>2</v>
      </c>
      <c r="E69" s="44">
        <v>2</v>
      </c>
      <c r="F69" s="44">
        <v>1</v>
      </c>
      <c r="G69" s="45">
        <v>29.3</v>
      </c>
      <c r="H69" s="47">
        <v>1</v>
      </c>
      <c r="I69" s="16"/>
      <c r="J69" s="44">
        <v>1</v>
      </c>
      <c r="K69" s="47"/>
      <c r="L69" s="47"/>
      <c r="M69" s="44"/>
      <c r="N69" s="44">
        <v>1</v>
      </c>
      <c r="O69" s="44">
        <v>2</v>
      </c>
      <c r="P69" s="17"/>
      <c r="Q69" s="44">
        <v>2</v>
      </c>
      <c r="R69" s="44">
        <v>2</v>
      </c>
      <c r="S69" s="13">
        <v>2</v>
      </c>
      <c r="T69" s="44"/>
      <c r="U69" s="44"/>
      <c r="V69" s="45"/>
      <c r="W69" s="44"/>
      <c r="X69" s="44"/>
      <c r="Y69" s="47">
        <v>2</v>
      </c>
      <c r="Z69" s="47">
        <v>2</v>
      </c>
      <c r="AA69" s="47">
        <v>0</v>
      </c>
      <c r="AB69" s="47">
        <v>1</v>
      </c>
      <c r="AC69" s="47">
        <v>1</v>
      </c>
      <c r="AD69" s="44"/>
      <c r="AE69" s="15">
        <v>1</v>
      </c>
      <c r="AF69" s="15">
        <v>1</v>
      </c>
      <c r="AG69" s="44"/>
      <c r="AH69" s="44"/>
      <c r="AI69" s="44"/>
      <c r="AJ69" s="44"/>
      <c r="AK69" s="47">
        <v>1</v>
      </c>
      <c r="AL69" s="47"/>
      <c r="AM69" s="47"/>
      <c r="AN69" s="47"/>
      <c r="AO69" s="47"/>
      <c r="AP69" s="47"/>
      <c r="AQ69" s="15">
        <f ca="1">IFERROR(__xludf.DUMMYFUNCTION("IFNA(DATEDIF(AV2, MAX(FILTER(AY2:CN2 ,  AY2:CN2&lt;&gt;"""")), ""m""), """")"),36)</f>
        <v>36</v>
      </c>
      <c r="AR69" s="44">
        <v>2</v>
      </c>
      <c r="AS69" s="44" t="s">
        <v>110</v>
      </c>
      <c r="AT69" s="44"/>
      <c r="AU69" s="44" t="s">
        <v>43</v>
      </c>
      <c r="AV69" s="44">
        <v>1</v>
      </c>
    </row>
    <row r="70" spans="1:48" ht="15.75" customHeight="1" x14ac:dyDescent="0.2">
      <c r="A70" s="23">
        <v>1802068658</v>
      </c>
      <c r="B70" s="13">
        <v>1</v>
      </c>
      <c r="C70" s="13">
        <v>56</v>
      </c>
      <c r="D70" s="13">
        <v>2</v>
      </c>
      <c r="E70" s="13">
        <v>2</v>
      </c>
      <c r="F70" s="13">
        <v>1</v>
      </c>
      <c r="G70" s="19">
        <v>45863</v>
      </c>
      <c r="H70" s="15">
        <v>1</v>
      </c>
      <c r="I70" s="16"/>
      <c r="J70" s="13">
        <v>1</v>
      </c>
      <c r="K70" s="15">
        <v>1</v>
      </c>
      <c r="L70" s="15"/>
      <c r="M70" s="13" t="s">
        <v>74</v>
      </c>
      <c r="N70" s="13">
        <v>1</v>
      </c>
      <c r="O70" s="13">
        <v>2</v>
      </c>
      <c r="P70" s="17"/>
      <c r="Q70" s="13">
        <v>2</v>
      </c>
      <c r="R70" s="13">
        <v>2</v>
      </c>
      <c r="S70" s="13">
        <v>2</v>
      </c>
      <c r="T70" s="13"/>
      <c r="U70" s="13"/>
      <c r="V70" s="14"/>
      <c r="W70" s="13"/>
      <c r="X70" s="13"/>
      <c r="Y70" s="15">
        <v>2</v>
      </c>
      <c r="Z70" s="15">
        <v>1</v>
      </c>
      <c r="AA70" s="47">
        <v>0</v>
      </c>
      <c r="AB70" s="15">
        <v>1</v>
      </c>
      <c r="AC70" s="15">
        <v>1</v>
      </c>
      <c r="AD70" s="15"/>
      <c r="AE70" s="15">
        <v>1</v>
      </c>
      <c r="AF70" s="15">
        <v>1</v>
      </c>
      <c r="AG70" s="13" t="s">
        <v>124</v>
      </c>
      <c r="AH70" s="13" t="s">
        <v>61</v>
      </c>
      <c r="AI70" s="13">
        <v>2</v>
      </c>
      <c r="AJ70" s="13">
        <v>24</v>
      </c>
      <c r="AK70" s="15">
        <v>2</v>
      </c>
      <c r="AL70" s="15"/>
      <c r="AM70" s="15"/>
      <c r="AN70" s="15"/>
      <c r="AO70" s="15"/>
      <c r="AP70" s="15"/>
      <c r="AQ70" s="15">
        <f ca="1">IFERROR(__xludf.DUMMYFUNCTION("IFNA(DATEDIF(AV38, MAX(FILTER(AY38:CN38 ,  AY38:CN38&lt;&gt;"""")), ""m""), """")"),37)</f>
        <v>37</v>
      </c>
      <c r="AR70" s="19">
        <v>45748</v>
      </c>
      <c r="AS70" s="13" t="s">
        <v>45</v>
      </c>
      <c r="AT70" s="13">
        <v>2</v>
      </c>
      <c r="AU70" s="13">
        <v>12</v>
      </c>
      <c r="AV70" s="13">
        <v>1</v>
      </c>
    </row>
    <row r="71" spans="1:48" ht="15.75" customHeight="1" x14ac:dyDescent="0.2">
      <c r="A71" s="12">
        <v>1801153501</v>
      </c>
      <c r="B71" s="13">
        <v>1</v>
      </c>
      <c r="C71" s="13">
        <v>65</v>
      </c>
      <c r="D71" s="13">
        <v>2</v>
      </c>
      <c r="E71" s="13">
        <v>2</v>
      </c>
      <c r="F71" s="13">
        <v>1</v>
      </c>
      <c r="G71" s="14" t="s">
        <v>99</v>
      </c>
      <c r="H71" s="15">
        <v>1</v>
      </c>
      <c r="I71" s="16"/>
      <c r="J71" s="13">
        <v>2</v>
      </c>
      <c r="K71" s="15"/>
      <c r="L71" s="15">
        <v>1</v>
      </c>
      <c r="M71" s="19">
        <v>45781</v>
      </c>
      <c r="N71" s="13">
        <v>2</v>
      </c>
      <c r="O71" s="13">
        <v>2</v>
      </c>
      <c r="P71" s="17"/>
      <c r="Q71" s="13">
        <v>2</v>
      </c>
      <c r="R71" s="13">
        <v>2</v>
      </c>
      <c r="S71" s="13">
        <v>2</v>
      </c>
      <c r="T71" s="13"/>
      <c r="U71" s="13"/>
      <c r="V71" s="14"/>
      <c r="W71" s="13"/>
      <c r="X71" s="13"/>
      <c r="Y71" s="15">
        <v>1</v>
      </c>
      <c r="Z71" s="15">
        <v>3</v>
      </c>
      <c r="AA71" s="15">
        <v>0</v>
      </c>
      <c r="AB71" s="15">
        <v>1</v>
      </c>
      <c r="AC71" s="15">
        <v>1</v>
      </c>
      <c r="AD71" s="15"/>
      <c r="AE71" s="15">
        <v>2</v>
      </c>
      <c r="AF71" s="15">
        <v>2</v>
      </c>
      <c r="AG71" s="13" t="s">
        <v>100</v>
      </c>
      <c r="AH71" s="13" t="s">
        <v>69</v>
      </c>
      <c r="AI71" s="13">
        <v>2</v>
      </c>
      <c r="AJ71" s="13">
        <v>11</v>
      </c>
      <c r="AK71" s="15">
        <v>2</v>
      </c>
      <c r="AL71" s="15"/>
      <c r="AM71" s="15"/>
      <c r="AN71" s="15"/>
      <c r="AO71" s="15"/>
      <c r="AP71" s="15"/>
      <c r="AQ71" s="15">
        <f ca="1">IFERROR(__xludf.DUMMYFUNCTION("IFNA(DATEDIF(AV18, MAX(FILTER(AY18:CN18 ,  AY18:CN18&lt;&gt;"""")), ""m""), """")"),38)</f>
        <v>38</v>
      </c>
      <c r="AR71" s="13" t="s">
        <v>51</v>
      </c>
      <c r="AS71" s="13" t="s">
        <v>69</v>
      </c>
      <c r="AT71" s="13"/>
      <c r="AU71" s="13">
        <v>11</v>
      </c>
      <c r="AV71" s="13">
        <v>1</v>
      </c>
    </row>
    <row r="72" spans="1:48" ht="15.75" customHeight="1" x14ac:dyDescent="0.2">
      <c r="A72" s="12">
        <v>1802506061</v>
      </c>
      <c r="B72" s="44">
        <v>1</v>
      </c>
      <c r="C72" s="44">
        <v>26</v>
      </c>
      <c r="D72" s="44">
        <v>2</v>
      </c>
      <c r="E72" s="44">
        <v>2</v>
      </c>
      <c r="F72" s="44">
        <v>1</v>
      </c>
      <c r="G72" s="46">
        <v>45807</v>
      </c>
      <c r="H72" s="47">
        <v>2</v>
      </c>
      <c r="I72" s="16"/>
      <c r="J72" s="44">
        <v>1</v>
      </c>
      <c r="K72" s="47">
        <v>1</v>
      </c>
      <c r="L72" s="47"/>
      <c r="M72" s="46">
        <v>45778</v>
      </c>
      <c r="N72" s="44">
        <v>1</v>
      </c>
      <c r="O72" s="44">
        <v>2</v>
      </c>
      <c r="P72" s="17"/>
      <c r="Q72" s="44">
        <v>2</v>
      </c>
      <c r="R72" s="44">
        <v>2</v>
      </c>
      <c r="S72" s="13">
        <v>2</v>
      </c>
      <c r="T72" s="44"/>
      <c r="U72" s="44"/>
      <c r="V72" s="45"/>
      <c r="W72" s="44"/>
      <c r="X72" s="44"/>
      <c r="Y72" s="47">
        <v>2</v>
      </c>
      <c r="Z72" s="47">
        <v>1</v>
      </c>
      <c r="AA72" s="47">
        <v>0</v>
      </c>
      <c r="AB72" s="47">
        <v>1</v>
      </c>
      <c r="AC72" s="47">
        <v>1</v>
      </c>
      <c r="AD72" s="47"/>
      <c r="AE72" s="47">
        <v>1</v>
      </c>
      <c r="AF72" s="15">
        <v>1</v>
      </c>
      <c r="AG72" s="46">
        <v>45749</v>
      </c>
      <c r="AH72" s="44" t="s">
        <v>58</v>
      </c>
      <c r="AI72" s="44">
        <v>2</v>
      </c>
      <c r="AJ72" s="46">
        <v>45664</v>
      </c>
      <c r="AK72" s="47">
        <v>2</v>
      </c>
      <c r="AL72" s="47"/>
      <c r="AM72" s="47"/>
      <c r="AN72" s="47"/>
      <c r="AO72" s="47"/>
      <c r="AP72" s="47"/>
      <c r="AQ72" s="15">
        <f ca="1">IFERROR(__xludf.DUMMYFUNCTION("IFNA(DATEDIF(AV53, MAX(FILTER(AY53:CN53 ,  AY53:CN53&lt;&gt;"""")), ""m""), """")"),38)</f>
        <v>38</v>
      </c>
      <c r="AR72" s="51">
        <v>45993</v>
      </c>
      <c r="AS72" s="44" t="s">
        <v>63</v>
      </c>
      <c r="AT72" s="44"/>
      <c r="AU72" s="44" t="s">
        <v>82</v>
      </c>
      <c r="AV72" s="44">
        <v>1</v>
      </c>
    </row>
    <row r="73" spans="1:48" ht="15.75" customHeight="1" x14ac:dyDescent="0.2">
      <c r="A73" s="23">
        <v>1801843093</v>
      </c>
      <c r="B73" s="44">
        <v>1</v>
      </c>
      <c r="C73" s="44">
        <v>44</v>
      </c>
      <c r="D73" s="44">
        <v>2</v>
      </c>
      <c r="E73" s="44">
        <v>2</v>
      </c>
      <c r="F73" s="44">
        <v>2</v>
      </c>
      <c r="G73" s="46">
        <v>45925</v>
      </c>
      <c r="H73" s="47">
        <v>1</v>
      </c>
      <c r="I73" s="16"/>
      <c r="J73" s="44">
        <v>1</v>
      </c>
      <c r="K73" s="47">
        <v>1</v>
      </c>
      <c r="L73" s="47"/>
      <c r="M73" s="44" t="s">
        <v>74</v>
      </c>
      <c r="N73" s="44">
        <v>1</v>
      </c>
      <c r="O73" s="44">
        <v>1</v>
      </c>
      <c r="P73" s="17"/>
      <c r="Q73" s="44">
        <v>2</v>
      </c>
      <c r="R73" s="44">
        <v>2</v>
      </c>
      <c r="S73" s="13">
        <v>2</v>
      </c>
      <c r="T73" s="44"/>
      <c r="U73" s="44"/>
      <c r="V73" s="45"/>
      <c r="W73" s="44"/>
      <c r="X73" s="44"/>
      <c r="Y73" s="47">
        <v>1</v>
      </c>
      <c r="Z73" s="47">
        <v>1</v>
      </c>
      <c r="AA73" s="47">
        <v>0</v>
      </c>
      <c r="AB73" s="47">
        <v>1</v>
      </c>
      <c r="AC73" s="47">
        <v>1</v>
      </c>
      <c r="AD73" s="47"/>
      <c r="AE73" s="47">
        <v>1</v>
      </c>
      <c r="AF73" s="15">
        <v>1</v>
      </c>
      <c r="AG73" s="44" t="s">
        <v>112</v>
      </c>
      <c r="AH73" s="44" t="s">
        <v>45</v>
      </c>
      <c r="AI73" s="44">
        <v>2</v>
      </c>
      <c r="AJ73" s="44">
        <v>13</v>
      </c>
      <c r="AK73" s="47">
        <v>2</v>
      </c>
      <c r="AL73" s="47"/>
      <c r="AM73" s="47"/>
      <c r="AN73" s="47"/>
      <c r="AO73" s="47"/>
      <c r="AP73" s="47"/>
      <c r="AQ73" s="15">
        <f ca="1">IFERROR(__xludf.DUMMYFUNCTION("IFNA(DATEDIF(AV28, MAX(FILTER(AY28:CN28 ,  AY28:CN28&lt;&gt;"""")), ""m""), """")"),39)</f>
        <v>39</v>
      </c>
      <c r="AR73" s="44" t="s">
        <v>113</v>
      </c>
      <c r="AS73" s="44" t="s">
        <v>69</v>
      </c>
      <c r="AT73" s="44">
        <v>2</v>
      </c>
      <c r="AU73" s="44">
        <v>14</v>
      </c>
      <c r="AV73" s="44">
        <v>1</v>
      </c>
    </row>
    <row r="74" spans="1:48" ht="15.75" customHeight="1" x14ac:dyDescent="0.2">
      <c r="A74" s="12">
        <v>1801455583</v>
      </c>
      <c r="B74" s="13">
        <v>1</v>
      </c>
      <c r="C74" s="13">
        <v>44</v>
      </c>
      <c r="D74" s="13">
        <v>2</v>
      </c>
      <c r="E74" s="13">
        <v>2</v>
      </c>
      <c r="F74" s="13">
        <v>1</v>
      </c>
      <c r="G74" s="13">
        <v>24.1</v>
      </c>
      <c r="H74" s="15">
        <v>1</v>
      </c>
      <c r="I74" s="16"/>
      <c r="J74" s="13">
        <v>1</v>
      </c>
      <c r="K74" s="15">
        <v>1</v>
      </c>
      <c r="L74" s="15"/>
      <c r="M74" s="19">
        <v>45779</v>
      </c>
      <c r="N74" s="13">
        <v>3</v>
      </c>
      <c r="O74" s="13">
        <v>1</v>
      </c>
      <c r="P74" s="17"/>
      <c r="Q74" s="13">
        <v>1</v>
      </c>
      <c r="R74" s="13">
        <v>1</v>
      </c>
      <c r="S74" s="13">
        <v>2</v>
      </c>
      <c r="T74" s="13"/>
      <c r="U74" s="13"/>
      <c r="V74" s="14"/>
      <c r="W74" s="13"/>
      <c r="X74" s="13"/>
      <c r="Y74" s="15">
        <v>2</v>
      </c>
      <c r="Z74" s="15">
        <v>3</v>
      </c>
      <c r="AA74" s="47">
        <v>0</v>
      </c>
      <c r="AB74" s="15">
        <v>1</v>
      </c>
      <c r="AC74" s="15">
        <v>1</v>
      </c>
      <c r="AD74" s="15"/>
      <c r="AE74" s="15">
        <v>2</v>
      </c>
      <c r="AF74" s="15">
        <v>3</v>
      </c>
      <c r="AG74" s="13" t="s">
        <v>63</v>
      </c>
      <c r="AH74" s="19">
        <v>45658</v>
      </c>
      <c r="AI74" s="13">
        <v>2</v>
      </c>
      <c r="AJ74" s="13" t="s">
        <v>85</v>
      </c>
      <c r="AK74" s="15">
        <v>1</v>
      </c>
      <c r="AL74" s="15">
        <v>100</v>
      </c>
      <c r="AM74" s="15"/>
      <c r="AN74" s="15"/>
      <c r="AO74" s="15"/>
      <c r="AP74" s="15"/>
      <c r="AQ74" s="15">
        <f ca="1">IFERROR(__xludf.DUMMYFUNCTION("IFNA(DATEDIF(AV21, MAX(FILTER(AY21:CN21 ,  AY21:CN21&lt;&gt;"""")), ""m""), """")"),39)</f>
        <v>39</v>
      </c>
      <c r="AR74" s="13" t="s">
        <v>105</v>
      </c>
      <c r="AS74" s="13" t="s">
        <v>65</v>
      </c>
      <c r="AT74" s="13">
        <v>2</v>
      </c>
      <c r="AU74" s="13" t="s">
        <v>49</v>
      </c>
      <c r="AV74" s="13">
        <v>2</v>
      </c>
    </row>
    <row r="75" spans="1:48" ht="15.75" customHeight="1" x14ac:dyDescent="0.2">
      <c r="A75" s="12">
        <v>1801564293</v>
      </c>
      <c r="B75" s="44">
        <v>1</v>
      </c>
      <c r="C75" s="44">
        <v>55</v>
      </c>
      <c r="D75" s="44">
        <v>2</v>
      </c>
      <c r="E75" s="44">
        <v>2</v>
      </c>
      <c r="F75" s="44">
        <v>1</v>
      </c>
      <c r="G75" s="45">
        <v>25.5</v>
      </c>
      <c r="H75" s="47">
        <v>1</v>
      </c>
      <c r="I75" s="16"/>
      <c r="J75" s="44">
        <v>1</v>
      </c>
      <c r="K75" s="47"/>
      <c r="L75" s="47"/>
      <c r="M75" s="44"/>
      <c r="N75" s="44">
        <v>1</v>
      </c>
      <c r="O75" s="44">
        <v>2</v>
      </c>
      <c r="P75" s="17"/>
      <c r="Q75" s="44">
        <v>2</v>
      </c>
      <c r="R75" s="44">
        <v>2</v>
      </c>
      <c r="S75" s="13">
        <v>2</v>
      </c>
      <c r="T75" s="44"/>
      <c r="U75" s="44"/>
      <c r="V75" s="45"/>
      <c r="W75" s="44"/>
      <c r="X75" s="44"/>
      <c r="Y75" s="47">
        <v>2</v>
      </c>
      <c r="Z75" s="47">
        <v>1</v>
      </c>
      <c r="AA75" s="47">
        <v>0</v>
      </c>
      <c r="AB75" s="47">
        <v>1</v>
      </c>
      <c r="AC75" s="47">
        <v>1</v>
      </c>
      <c r="AD75" s="44"/>
      <c r="AE75" s="47">
        <v>1</v>
      </c>
      <c r="AF75" s="47">
        <v>1</v>
      </c>
      <c r="AG75" s="44"/>
      <c r="AH75" s="44"/>
      <c r="AI75" s="44"/>
      <c r="AJ75" s="44"/>
      <c r="AK75" s="47">
        <v>2</v>
      </c>
      <c r="AL75" s="47"/>
      <c r="AM75" s="47"/>
      <c r="AN75" s="47"/>
      <c r="AO75" s="47"/>
      <c r="AP75" s="47"/>
      <c r="AQ75" s="15">
        <f ca="1">IFERROR(__xludf.DUMMYFUNCTION("IFNA(DATEDIF(AV22, MAX(FILTER(AY22:CN22 ,  AY22:CN22&lt;&gt;"""")), ""m""), """")"),40)</f>
        <v>40</v>
      </c>
      <c r="AR75" s="44" t="s">
        <v>77</v>
      </c>
      <c r="AS75" s="52" t="s">
        <v>69</v>
      </c>
      <c r="AT75" s="52"/>
      <c r="AU75" s="44">
        <v>14</v>
      </c>
      <c r="AV75" s="44">
        <v>1</v>
      </c>
    </row>
    <row r="76" spans="1:48" ht="15.75" customHeight="1" x14ac:dyDescent="0.2">
      <c r="A76" s="30">
        <v>1801875566</v>
      </c>
      <c r="B76" s="44">
        <v>1</v>
      </c>
      <c r="C76" s="44">
        <v>57</v>
      </c>
      <c r="D76" s="44">
        <v>2</v>
      </c>
      <c r="E76" s="44">
        <v>2</v>
      </c>
      <c r="F76" s="44">
        <v>1</v>
      </c>
      <c r="G76" s="45">
        <v>29.1</v>
      </c>
      <c r="H76" s="47">
        <v>3</v>
      </c>
      <c r="I76" s="16"/>
      <c r="J76" s="44">
        <v>1</v>
      </c>
      <c r="K76" s="47">
        <v>1</v>
      </c>
      <c r="L76" s="47"/>
      <c r="M76" s="46">
        <v>45689</v>
      </c>
      <c r="N76" s="44">
        <v>1</v>
      </c>
      <c r="O76" s="44">
        <v>2</v>
      </c>
      <c r="P76" s="17"/>
      <c r="Q76" s="44">
        <v>2</v>
      </c>
      <c r="R76" s="44">
        <v>2</v>
      </c>
      <c r="S76" s="13">
        <v>2</v>
      </c>
      <c r="T76" s="44"/>
      <c r="U76" s="44"/>
      <c r="V76" s="49"/>
      <c r="W76" s="44"/>
      <c r="X76" s="44"/>
      <c r="Y76" s="47">
        <v>2</v>
      </c>
      <c r="Z76" s="47">
        <v>1</v>
      </c>
      <c r="AA76" s="47">
        <v>0</v>
      </c>
      <c r="AB76" s="47">
        <v>1</v>
      </c>
      <c r="AC76" s="47">
        <v>1</v>
      </c>
      <c r="AD76" s="47"/>
      <c r="AE76" s="47">
        <v>1</v>
      </c>
      <c r="AF76" s="15">
        <v>1</v>
      </c>
      <c r="AG76" s="44" t="s">
        <v>114</v>
      </c>
      <c r="AH76" s="44"/>
      <c r="AI76" s="44"/>
      <c r="AJ76" s="44"/>
      <c r="AK76" s="47">
        <v>2</v>
      </c>
      <c r="AL76" s="47"/>
      <c r="AM76" s="47"/>
      <c r="AN76" s="47"/>
      <c r="AO76" s="47"/>
      <c r="AP76" s="47"/>
      <c r="AQ76" s="15">
        <f ca="1">IFERROR(__xludf.DUMMYFUNCTION("IFNA(DATEDIF(AV29, MAX(FILTER(AY29:CN29 ,  AY29:CN29&lt;&gt;"""")), ""m""), """")"),40)</f>
        <v>40</v>
      </c>
      <c r="AR76" s="46">
        <v>45901</v>
      </c>
      <c r="AS76" s="44"/>
      <c r="AT76" s="44"/>
      <c r="AU76" s="44"/>
      <c r="AV76" s="44">
        <v>1</v>
      </c>
    </row>
    <row r="77" spans="1:48" ht="15.75" customHeight="1" x14ac:dyDescent="0.2">
      <c r="A77" s="12">
        <v>1802314458</v>
      </c>
      <c r="B77" s="13">
        <v>1</v>
      </c>
      <c r="C77" s="13">
        <v>55</v>
      </c>
      <c r="D77" s="13">
        <v>2</v>
      </c>
      <c r="E77" s="13">
        <v>2</v>
      </c>
      <c r="F77" s="13">
        <v>1</v>
      </c>
      <c r="G77" s="14">
        <v>30.9</v>
      </c>
      <c r="H77" s="15">
        <v>2</v>
      </c>
      <c r="I77" s="16"/>
      <c r="J77" s="13">
        <v>1</v>
      </c>
      <c r="K77" s="15"/>
      <c r="L77" s="15"/>
      <c r="M77" s="13"/>
      <c r="N77" s="13">
        <v>1</v>
      </c>
      <c r="O77" s="13">
        <v>2</v>
      </c>
      <c r="P77" s="17"/>
      <c r="Q77" s="13">
        <v>2</v>
      </c>
      <c r="R77" s="13">
        <v>2</v>
      </c>
      <c r="S77" s="13">
        <v>2</v>
      </c>
      <c r="T77" s="13"/>
      <c r="U77" s="13"/>
      <c r="V77" s="14"/>
      <c r="W77" s="13"/>
      <c r="X77" s="13"/>
      <c r="Y77" s="15">
        <v>2</v>
      </c>
      <c r="Z77" s="15">
        <v>2</v>
      </c>
      <c r="AA77" s="15">
        <v>1</v>
      </c>
      <c r="AB77" s="15">
        <v>1</v>
      </c>
      <c r="AC77" s="15">
        <v>2</v>
      </c>
      <c r="AD77" s="15"/>
      <c r="AE77" s="15">
        <v>1</v>
      </c>
      <c r="AF77" s="15">
        <v>1</v>
      </c>
      <c r="AG77" s="13"/>
      <c r="AH77" s="13"/>
      <c r="AI77" s="13"/>
      <c r="AJ77" s="13"/>
      <c r="AK77" s="15">
        <v>1</v>
      </c>
      <c r="AL77" s="15"/>
      <c r="AM77" s="15"/>
      <c r="AN77" s="15"/>
      <c r="AO77" s="15"/>
      <c r="AP77" s="15"/>
      <c r="AQ77" s="15">
        <f ca="1">IFERROR(__xludf.DUMMYFUNCTION("IFNA(DATEDIF(AV46, MAX(FILTER(AY46:CN46 ,  AY46:CN46&lt;&gt;"""")), ""m""), """")"),41)</f>
        <v>41</v>
      </c>
      <c r="AR77" s="13" t="s">
        <v>133</v>
      </c>
      <c r="AS77" s="13">
        <v>5</v>
      </c>
      <c r="AT77" s="13"/>
      <c r="AU77" s="13">
        <v>7</v>
      </c>
      <c r="AV77" s="13">
        <v>3</v>
      </c>
    </row>
    <row r="78" spans="1:48" ht="15.75" customHeight="1" x14ac:dyDescent="0.2">
      <c r="A78" s="12">
        <v>1801840115</v>
      </c>
      <c r="B78" s="13">
        <v>1</v>
      </c>
      <c r="C78" s="13">
        <v>49</v>
      </c>
      <c r="D78" s="13">
        <v>2</v>
      </c>
      <c r="E78" s="13">
        <v>2</v>
      </c>
      <c r="F78" s="13">
        <v>2</v>
      </c>
      <c r="G78" s="19">
        <v>45899</v>
      </c>
      <c r="H78" s="15">
        <v>1</v>
      </c>
      <c r="I78" s="16"/>
      <c r="J78" s="13">
        <v>1</v>
      </c>
      <c r="K78" s="15">
        <v>1</v>
      </c>
      <c r="L78" s="15"/>
      <c r="M78" s="13" t="s">
        <v>62</v>
      </c>
      <c r="N78" s="13">
        <v>1</v>
      </c>
      <c r="O78" s="13">
        <v>1</v>
      </c>
      <c r="P78" s="17"/>
      <c r="Q78" s="13">
        <v>2</v>
      </c>
      <c r="R78" s="13">
        <v>2</v>
      </c>
      <c r="S78" s="13">
        <v>2</v>
      </c>
      <c r="T78" s="13"/>
      <c r="U78" s="13"/>
      <c r="V78" s="14"/>
      <c r="W78" s="13"/>
      <c r="X78" s="13"/>
      <c r="Y78" s="15">
        <v>2</v>
      </c>
      <c r="Z78" s="15">
        <v>1</v>
      </c>
      <c r="AA78" s="15">
        <v>0</v>
      </c>
      <c r="AB78" s="15">
        <v>1</v>
      </c>
      <c r="AC78" s="15">
        <v>1</v>
      </c>
      <c r="AD78" s="15"/>
      <c r="AE78" s="15">
        <v>1</v>
      </c>
      <c r="AF78" s="15">
        <v>1</v>
      </c>
      <c r="AG78" s="13" t="s">
        <v>106</v>
      </c>
      <c r="AH78" s="13" t="s">
        <v>45</v>
      </c>
      <c r="AI78" s="13">
        <v>2</v>
      </c>
      <c r="AJ78" s="13">
        <v>24</v>
      </c>
      <c r="AK78" s="15">
        <v>2</v>
      </c>
      <c r="AL78" s="15"/>
      <c r="AM78" s="15"/>
      <c r="AN78" s="15"/>
      <c r="AO78" s="15"/>
      <c r="AP78" s="15"/>
      <c r="AQ78" s="15">
        <f ca="1">IFERROR(__xludf.DUMMYFUNCTION("IFNA(DATEDIF(AV27, MAX(FILTER(AY27:CN27 ,  AY27:CN27&lt;&gt;"""")), ""m""), """")"),41)</f>
        <v>41</v>
      </c>
      <c r="AR78" s="22">
        <v>45778</v>
      </c>
      <c r="AS78" s="13" t="s">
        <v>45</v>
      </c>
      <c r="AT78" s="13">
        <v>2</v>
      </c>
      <c r="AU78" s="13">
        <v>14</v>
      </c>
      <c r="AV78" s="13">
        <v>1</v>
      </c>
    </row>
    <row r="79" spans="1:48" ht="15.75" customHeight="1" x14ac:dyDescent="0.2">
      <c r="A79" s="12">
        <v>1802067437</v>
      </c>
      <c r="B79" s="33">
        <v>1</v>
      </c>
      <c r="C79" s="33">
        <v>53</v>
      </c>
      <c r="D79" s="33">
        <v>2</v>
      </c>
      <c r="E79" s="33">
        <v>2</v>
      </c>
      <c r="F79" s="33">
        <v>1</v>
      </c>
      <c r="G79" s="33" t="s">
        <v>122</v>
      </c>
      <c r="H79" s="30">
        <v>2</v>
      </c>
      <c r="I79" s="16"/>
      <c r="J79" s="33">
        <v>1</v>
      </c>
      <c r="K79" s="30">
        <v>1</v>
      </c>
      <c r="L79" s="30"/>
      <c r="M79" s="37">
        <v>45689</v>
      </c>
      <c r="N79" s="33">
        <v>1</v>
      </c>
      <c r="O79" s="33">
        <v>1</v>
      </c>
      <c r="P79" s="17"/>
      <c r="Q79" s="33">
        <v>2</v>
      </c>
      <c r="R79" s="33">
        <v>2</v>
      </c>
      <c r="S79" s="13">
        <v>2</v>
      </c>
      <c r="T79" s="33"/>
      <c r="U79" s="33"/>
      <c r="V79" s="36"/>
      <c r="W79" s="33"/>
      <c r="X79" s="33"/>
      <c r="Y79" s="30">
        <v>1</v>
      </c>
      <c r="Z79" s="30">
        <v>1</v>
      </c>
      <c r="AA79" s="30">
        <v>0</v>
      </c>
      <c r="AB79" s="30">
        <v>1</v>
      </c>
      <c r="AC79" s="30">
        <v>1</v>
      </c>
      <c r="AD79" s="33"/>
      <c r="AE79" s="30">
        <v>1</v>
      </c>
      <c r="AF79" s="30">
        <v>1</v>
      </c>
      <c r="AG79" s="33" t="s">
        <v>101</v>
      </c>
      <c r="AH79" s="33" t="s">
        <v>101</v>
      </c>
      <c r="AI79" s="33">
        <v>2</v>
      </c>
      <c r="AJ79" s="37">
        <v>45704</v>
      </c>
      <c r="AK79" s="30">
        <v>2</v>
      </c>
      <c r="AL79" s="30"/>
      <c r="AM79" s="30"/>
      <c r="AN79" s="30"/>
      <c r="AO79" s="30"/>
      <c r="AP79" s="30"/>
      <c r="AQ79" s="15">
        <f ca="1">IFERROR(__xludf.DUMMYFUNCTION("IFNA(DATEDIF(AV36, MAX(FILTER(AY36:CN36 ,  AY36:CN36&lt;&gt;"""")), ""m""), """")"),42)</f>
        <v>42</v>
      </c>
      <c r="AR79" s="33" t="s">
        <v>123</v>
      </c>
      <c r="AS79" s="33" t="s">
        <v>45</v>
      </c>
      <c r="AT79" s="33">
        <v>2</v>
      </c>
      <c r="AU79" s="33">
        <v>10</v>
      </c>
      <c r="AV79" s="33">
        <v>2</v>
      </c>
    </row>
    <row r="80" spans="1:48" ht="15.75" customHeight="1" x14ac:dyDescent="0.2">
      <c r="A80" s="12">
        <v>1801747294</v>
      </c>
      <c r="B80" s="44">
        <v>1</v>
      </c>
      <c r="C80" s="44">
        <v>28</v>
      </c>
      <c r="D80" s="44">
        <v>2</v>
      </c>
      <c r="E80" s="44">
        <v>2</v>
      </c>
      <c r="F80" s="44">
        <v>2</v>
      </c>
      <c r="G80" s="46">
        <v>45867</v>
      </c>
      <c r="H80" s="47">
        <v>1</v>
      </c>
      <c r="I80" s="16"/>
      <c r="J80" s="44">
        <v>1</v>
      </c>
      <c r="K80" s="47">
        <v>1</v>
      </c>
      <c r="L80" s="47"/>
      <c r="M80" s="44" t="s">
        <v>103</v>
      </c>
      <c r="N80" s="44">
        <v>2</v>
      </c>
      <c r="O80" s="44">
        <v>1</v>
      </c>
      <c r="P80" s="17"/>
      <c r="Q80" s="44">
        <v>1</v>
      </c>
      <c r="R80" s="44">
        <v>1</v>
      </c>
      <c r="S80" s="13">
        <v>2</v>
      </c>
      <c r="T80" s="44"/>
      <c r="U80" s="44"/>
      <c r="V80" s="45"/>
      <c r="W80" s="44"/>
      <c r="X80" s="44"/>
      <c r="Y80" s="47">
        <v>2</v>
      </c>
      <c r="Z80" s="47">
        <v>3</v>
      </c>
      <c r="AA80" s="47">
        <v>0</v>
      </c>
      <c r="AB80" s="47">
        <v>1</v>
      </c>
      <c r="AC80" s="47">
        <v>2</v>
      </c>
      <c r="AD80" s="44"/>
      <c r="AE80" s="15">
        <v>2</v>
      </c>
      <c r="AF80" s="15">
        <v>3</v>
      </c>
      <c r="AG80" s="44" t="s">
        <v>47</v>
      </c>
      <c r="AH80" s="44" t="s">
        <v>76</v>
      </c>
      <c r="AI80" s="44">
        <v>2</v>
      </c>
      <c r="AJ80" s="44">
        <v>18</v>
      </c>
      <c r="AK80" s="47">
        <v>1</v>
      </c>
      <c r="AL80" s="47">
        <v>100</v>
      </c>
      <c r="AM80" s="47"/>
      <c r="AN80" s="47"/>
      <c r="AO80" s="47"/>
      <c r="AP80" s="47"/>
      <c r="AQ80" s="15">
        <f ca="1">IFERROR(__xludf.DUMMYFUNCTION("IFNA(DATEDIF(AV25, MAX(FILTER(AY25:CN25 ,  AY25:CN25&lt;&gt;"""")), ""m""), """")"),43)</f>
        <v>43</v>
      </c>
      <c r="AR80" s="44" t="s">
        <v>67</v>
      </c>
      <c r="AS80" s="44" t="s">
        <v>45</v>
      </c>
      <c r="AT80" s="44">
        <v>2</v>
      </c>
      <c r="AU80" s="44">
        <v>13</v>
      </c>
      <c r="AV80" s="44">
        <v>1</v>
      </c>
    </row>
    <row r="81" spans="1:48" ht="15.75" customHeight="1" x14ac:dyDescent="0.2">
      <c r="A81" s="12">
        <v>1600306268</v>
      </c>
      <c r="B81" s="44">
        <v>1</v>
      </c>
      <c r="C81" s="44">
        <v>34</v>
      </c>
      <c r="D81" s="44">
        <v>2</v>
      </c>
      <c r="E81" s="44">
        <v>2</v>
      </c>
      <c r="F81" s="44">
        <v>1</v>
      </c>
      <c r="G81" s="46">
        <v>45892</v>
      </c>
      <c r="H81" s="47">
        <v>1</v>
      </c>
      <c r="I81" s="16"/>
      <c r="J81" s="44">
        <v>1</v>
      </c>
      <c r="K81" s="47">
        <v>1</v>
      </c>
      <c r="L81" s="47"/>
      <c r="M81" s="44" t="s">
        <v>62</v>
      </c>
      <c r="N81" s="44">
        <v>1</v>
      </c>
      <c r="O81" s="44">
        <v>1</v>
      </c>
      <c r="P81" s="17"/>
      <c r="Q81" s="44">
        <v>2</v>
      </c>
      <c r="R81" s="44">
        <v>2</v>
      </c>
      <c r="S81" s="13">
        <v>2</v>
      </c>
      <c r="T81" s="44"/>
      <c r="U81" s="44"/>
      <c r="V81" s="45"/>
      <c r="W81" s="44"/>
      <c r="X81" s="44"/>
      <c r="Y81" s="47">
        <v>2</v>
      </c>
      <c r="Z81" s="47">
        <v>1</v>
      </c>
      <c r="AA81" s="47">
        <v>0</v>
      </c>
      <c r="AB81" s="47">
        <v>1</v>
      </c>
      <c r="AC81" s="47">
        <v>1</v>
      </c>
      <c r="AD81" s="47"/>
      <c r="AE81" s="47">
        <v>1</v>
      </c>
      <c r="AF81" s="47">
        <v>1</v>
      </c>
      <c r="AG81" s="44" t="s">
        <v>92</v>
      </c>
      <c r="AH81" s="44" t="s">
        <v>60</v>
      </c>
      <c r="AI81" s="44">
        <v>1</v>
      </c>
      <c r="AJ81" s="44" t="s">
        <v>53</v>
      </c>
      <c r="AK81" s="47">
        <v>2</v>
      </c>
      <c r="AL81" s="47"/>
      <c r="AM81" s="47"/>
      <c r="AN81" s="47"/>
      <c r="AO81" s="47"/>
      <c r="AP81" s="47"/>
      <c r="AQ81" s="15">
        <f ca="1">IFERROR(__xludf.DUMMYFUNCTION("IFNA(DATEDIF(AV15, MAX(FILTER(AY15:CN15 ,  AY15:CN15&lt;&gt;"""")), ""m""), """")"),43)</f>
        <v>43</v>
      </c>
      <c r="AR81" s="44" t="s">
        <v>94</v>
      </c>
      <c r="AS81" s="44" t="s">
        <v>45</v>
      </c>
      <c r="AT81" s="44">
        <v>2</v>
      </c>
      <c r="AU81" s="44" t="s">
        <v>93</v>
      </c>
      <c r="AV81" s="44">
        <v>3</v>
      </c>
    </row>
    <row r="82" spans="1:48" ht="15.75" customHeight="1" x14ac:dyDescent="0.2">
      <c r="A82" s="23">
        <v>1714492509</v>
      </c>
      <c r="B82" s="44">
        <v>1</v>
      </c>
      <c r="C82" s="44">
        <v>63</v>
      </c>
      <c r="D82" s="44">
        <v>2</v>
      </c>
      <c r="E82" s="44">
        <v>2</v>
      </c>
      <c r="F82" s="44">
        <v>2</v>
      </c>
      <c r="G82" s="46">
        <v>45923</v>
      </c>
      <c r="H82" s="47">
        <v>1</v>
      </c>
      <c r="I82" s="16"/>
      <c r="J82" s="44">
        <v>1</v>
      </c>
      <c r="K82" s="47">
        <v>6</v>
      </c>
      <c r="L82" s="48"/>
      <c r="M82" s="44" t="s">
        <v>62</v>
      </c>
      <c r="N82" s="44">
        <v>1</v>
      </c>
      <c r="O82" s="44">
        <v>1</v>
      </c>
      <c r="P82" s="17"/>
      <c r="Q82" s="44">
        <v>2</v>
      </c>
      <c r="R82" s="44">
        <v>2</v>
      </c>
      <c r="S82" s="13">
        <v>2</v>
      </c>
      <c r="T82" s="44"/>
      <c r="U82" s="44"/>
      <c r="V82" s="45"/>
      <c r="W82" s="44"/>
      <c r="X82" s="44"/>
      <c r="Y82" s="47">
        <v>2</v>
      </c>
      <c r="Z82" s="47">
        <v>1</v>
      </c>
      <c r="AA82" s="47">
        <v>0</v>
      </c>
      <c r="AB82" s="47">
        <v>1</v>
      </c>
      <c r="AC82" s="47">
        <v>1</v>
      </c>
      <c r="AD82" s="47"/>
      <c r="AE82" s="47">
        <v>1</v>
      </c>
      <c r="AF82" s="15">
        <v>1</v>
      </c>
      <c r="AG82" s="44" t="s">
        <v>77</v>
      </c>
      <c r="AH82" s="44" t="s">
        <v>45</v>
      </c>
      <c r="AI82" s="44">
        <v>1</v>
      </c>
      <c r="AJ82" s="44">
        <v>242</v>
      </c>
      <c r="AK82" s="47">
        <v>2</v>
      </c>
      <c r="AL82" s="47"/>
      <c r="AM82" s="47"/>
      <c r="AN82" s="47"/>
      <c r="AO82" s="47"/>
      <c r="AP82" s="47"/>
      <c r="AQ82" s="15">
        <f ca="1">IFERROR(__xludf.DUMMYFUNCTION("IFNA(DATEDIF(AV16, MAX(FILTER(AY16:CN16 ,  AY16:CN16&lt;&gt;"""")), ""m""), """")"),44)</f>
        <v>44</v>
      </c>
      <c r="AR82" s="44" t="s">
        <v>92</v>
      </c>
      <c r="AS82" s="44" t="s">
        <v>45</v>
      </c>
      <c r="AT82" s="44">
        <v>2</v>
      </c>
      <c r="AU82" s="44">
        <v>16</v>
      </c>
      <c r="AV82" s="47">
        <v>1</v>
      </c>
    </row>
    <row r="83" spans="1:48" ht="15.75" customHeight="1" x14ac:dyDescent="0.2">
      <c r="A83" s="12">
        <v>1801726959</v>
      </c>
      <c r="B83" s="13">
        <v>1</v>
      </c>
      <c r="C83" s="13">
        <v>49</v>
      </c>
      <c r="D83" s="13">
        <v>2</v>
      </c>
      <c r="E83" s="13">
        <v>2</v>
      </c>
      <c r="F83" s="13">
        <v>2</v>
      </c>
      <c r="G83" s="14">
        <v>37.299999999999997</v>
      </c>
      <c r="H83" s="15">
        <v>1</v>
      </c>
      <c r="I83" s="16"/>
      <c r="J83" s="13">
        <v>1</v>
      </c>
      <c r="K83" s="15"/>
      <c r="L83" s="15"/>
      <c r="M83" s="13"/>
      <c r="N83" s="13">
        <v>1</v>
      </c>
      <c r="O83" s="13">
        <v>2</v>
      </c>
      <c r="P83" s="17"/>
      <c r="Q83" s="13">
        <v>2</v>
      </c>
      <c r="R83" s="13">
        <v>2</v>
      </c>
      <c r="S83" s="13">
        <v>2</v>
      </c>
      <c r="T83" s="13"/>
      <c r="U83" s="13"/>
      <c r="V83" s="14"/>
      <c r="W83" s="13"/>
      <c r="X83" s="13"/>
      <c r="Y83" s="15">
        <v>2</v>
      </c>
      <c r="Z83" s="15">
        <v>1</v>
      </c>
      <c r="AA83" s="47">
        <v>0</v>
      </c>
      <c r="AB83" s="15">
        <v>1</v>
      </c>
      <c r="AC83" s="15">
        <v>1</v>
      </c>
      <c r="AD83" s="15"/>
      <c r="AE83" s="15">
        <v>1</v>
      </c>
      <c r="AF83" s="15">
        <v>1</v>
      </c>
      <c r="AG83" s="13"/>
      <c r="AH83" s="13"/>
      <c r="AI83" s="13"/>
      <c r="AJ83" s="13"/>
      <c r="AK83" s="15">
        <v>2</v>
      </c>
      <c r="AL83" s="15"/>
      <c r="AM83" s="15"/>
      <c r="AN83" s="15"/>
      <c r="AO83" s="15"/>
      <c r="AP83" s="15"/>
      <c r="AQ83" s="15">
        <f ca="1">IFERROR(__xludf.DUMMYFUNCTION("IFNA(DATEDIF(AV24, MAX(FILTER(AY24:CN24 ,  AY24:CN24&lt;&gt;"""")), ""m""), """")"),44)</f>
        <v>44</v>
      </c>
      <c r="AR83" s="13" t="s">
        <v>107</v>
      </c>
      <c r="AS83" s="13" t="s">
        <v>59</v>
      </c>
      <c r="AT83" s="13"/>
      <c r="AU83" s="13">
        <v>101</v>
      </c>
      <c r="AV83" s="13">
        <v>1</v>
      </c>
    </row>
    <row r="84" spans="1:48" ht="15.75" customHeight="1" x14ac:dyDescent="0.2">
      <c r="A84" s="31">
        <v>1801385830</v>
      </c>
      <c r="B84" s="13">
        <v>1</v>
      </c>
      <c r="C84" s="13">
        <v>50</v>
      </c>
      <c r="D84" s="13">
        <v>2</v>
      </c>
      <c r="E84" s="13">
        <v>2</v>
      </c>
      <c r="F84" s="13">
        <v>1</v>
      </c>
      <c r="G84" s="19">
        <v>45829</v>
      </c>
      <c r="H84" s="15">
        <v>1</v>
      </c>
      <c r="I84" s="16"/>
      <c r="J84" s="13">
        <v>2</v>
      </c>
      <c r="K84" s="15"/>
      <c r="L84" s="15">
        <v>1</v>
      </c>
      <c r="M84" s="19">
        <v>45689</v>
      </c>
      <c r="N84" s="13">
        <v>1</v>
      </c>
      <c r="O84" s="13">
        <v>1</v>
      </c>
      <c r="P84" s="17"/>
      <c r="Q84" s="13">
        <v>2</v>
      </c>
      <c r="R84" s="13">
        <v>2</v>
      </c>
      <c r="S84" s="13">
        <v>2</v>
      </c>
      <c r="T84" s="13"/>
      <c r="U84" s="13"/>
      <c r="V84" s="14"/>
      <c r="W84" s="13"/>
      <c r="X84" s="13"/>
      <c r="Y84" s="15">
        <v>2</v>
      </c>
      <c r="Z84" s="15">
        <v>1</v>
      </c>
      <c r="AA84" s="15">
        <v>0</v>
      </c>
      <c r="AB84" s="15">
        <v>1</v>
      </c>
      <c r="AC84" s="15">
        <v>1</v>
      </c>
      <c r="AD84" s="15"/>
      <c r="AE84" s="15">
        <v>1</v>
      </c>
      <c r="AF84" s="15">
        <v>1</v>
      </c>
      <c r="AG84" s="13" t="s">
        <v>47</v>
      </c>
      <c r="AH84" s="13" t="s">
        <v>45</v>
      </c>
      <c r="AI84" s="13">
        <v>1</v>
      </c>
      <c r="AJ84" s="13" t="s">
        <v>49</v>
      </c>
      <c r="AK84" s="15">
        <v>2</v>
      </c>
      <c r="AL84" s="15"/>
      <c r="AM84" s="15"/>
      <c r="AN84" s="15"/>
      <c r="AO84" s="15"/>
      <c r="AP84" s="15"/>
      <c r="AQ84" s="15">
        <f ca="1">IFERROR(__xludf.DUMMYFUNCTION("IFNA(DATEDIF(AV20, MAX(FILTER(AY20:CN20 ,  AY20:CN20&lt;&gt;"""")), ""m""), """")"),45)</f>
        <v>45</v>
      </c>
      <c r="AR84" s="19">
        <v>45888</v>
      </c>
      <c r="AS84" s="13" t="s">
        <v>49</v>
      </c>
      <c r="AT84" s="13">
        <v>2</v>
      </c>
      <c r="AU84" s="13" t="s">
        <v>49</v>
      </c>
      <c r="AV84" s="15">
        <v>1</v>
      </c>
    </row>
    <row r="85" spans="1:48" ht="15.75" customHeight="1" x14ac:dyDescent="0.2">
      <c r="A85" s="30">
        <v>924535909</v>
      </c>
      <c r="B85" s="44">
        <v>2</v>
      </c>
      <c r="C85" s="44">
        <v>22</v>
      </c>
      <c r="D85" s="44">
        <v>2</v>
      </c>
      <c r="E85" s="44">
        <v>2</v>
      </c>
      <c r="F85" s="44">
        <v>1</v>
      </c>
      <c r="G85" s="45">
        <v>25.8</v>
      </c>
      <c r="H85" s="47">
        <v>3</v>
      </c>
      <c r="I85" s="16"/>
      <c r="J85" s="44">
        <v>1</v>
      </c>
      <c r="K85" s="47">
        <v>3</v>
      </c>
      <c r="L85" s="47"/>
      <c r="M85" s="46">
        <v>45689</v>
      </c>
      <c r="N85" s="44">
        <v>1</v>
      </c>
      <c r="O85" s="44">
        <v>2</v>
      </c>
      <c r="P85" s="17"/>
      <c r="Q85" s="44">
        <v>2</v>
      </c>
      <c r="R85" s="44">
        <v>2</v>
      </c>
      <c r="S85" s="13">
        <v>2</v>
      </c>
      <c r="T85" s="44"/>
      <c r="U85" s="44"/>
      <c r="V85" s="45"/>
      <c r="W85" s="44"/>
      <c r="X85" s="44"/>
      <c r="Y85" s="47">
        <v>2</v>
      </c>
      <c r="Z85" s="47">
        <v>1</v>
      </c>
      <c r="AA85" s="47">
        <v>0</v>
      </c>
      <c r="AB85" s="47">
        <v>1</v>
      </c>
      <c r="AC85" s="47">
        <v>1</v>
      </c>
      <c r="AD85" s="47"/>
      <c r="AE85" s="47">
        <v>1</v>
      </c>
      <c r="AF85" s="15">
        <v>1</v>
      </c>
      <c r="AG85" s="44" t="s">
        <v>87</v>
      </c>
      <c r="AH85" s="44"/>
      <c r="AI85" s="44"/>
      <c r="AJ85" s="44"/>
      <c r="AK85" s="47">
        <v>2</v>
      </c>
      <c r="AL85" s="47"/>
      <c r="AM85" s="47"/>
      <c r="AN85" s="47"/>
      <c r="AO85" s="47"/>
      <c r="AP85" s="47"/>
      <c r="AQ85" s="15">
        <f ca="1">IFERROR(__xludf.DUMMYFUNCTION("IFNA(DATEDIF(AV13, MAX(FILTER(AY13:CN13 ,  AY13:CN13&lt;&gt;"""")), ""m""), """")"),46)</f>
        <v>46</v>
      </c>
      <c r="AR85" s="46">
        <v>45717</v>
      </c>
      <c r="AS85" s="44"/>
      <c r="AT85" s="44"/>
      <c r="AU85" s="44"/>
      <c r="AV85" s="47">
        <v>1</v>
      </c>
    </row>
    <row r="86" spans="1:48" ht="15.75" customHeight="1" x14ac:dyDescent="0.2">
      <c r="A86" s="12">
        <v>604505453</v>
      </c>
      <c r="B86" s="44">
        <v>2</v>
      </c>
      <c r="C86" s="44">
        <v>40</v>
      </c>
      <c r="D86" s="44">
        <v>2</v>
      </c>
      <c r="E86" s="44">
        <v>2</v>
      </c>
      <c r="F86" s="44">
        <v>1</v>
      </c>
      <c r="G86" s="46">
        <v>45866</v>
      </c>
      <c r="H86" s="47">
        <v>1</v>
      </c>
      <c r="I86" s="16"/>
      <c r="J86" s="44">
        <v>1</v>
      </c>
      <c r="K86" s="47">
        <v>1</v>
      </c>
      <c r="L86" s="47"/>
      <c r="M86" s="44" t="s">
        <v>79</v>
      </c>
      <c r="N86" s="44">
        <v>1</v>
      </c>
      <c r="O86" s="44">
        <v>2</v>
      </c>
      <c r="P86" s="17"/>
      <c r="Q86" s="44">
        <v>2</v>
      </c>
      <c r="R86" s="44">
        <v>2</v>
      </c>
      <c r="S86" s="13">
        <v>2</v>
      </c>
      <c r="T86" s="44"/>
      <c r="U86" s="44"/>
      <c r="V86" s="45"/>
      <c r="W86" s="44"/>
      <c r="X86" s="44"/>
      <c r="Y86" s="47">
        <v>2</v>
      </c>
      <c r="Z86" s="47">
        <v>1</v>
      </c>
      <c r="AA86" s="47">
        <v>0</v>
      </c>
      <c r="AB86" s="47">
        <v>1</v>
      </c>
      <c r="AC86" s="47">
        <v>1</v>
      </c>
      <c r="AD86" s="47"/>
      <c r="AE86" s="47">
        <v>1</v>
      </c>
      <c r="AF86" s="15">
        <v>1</v>
      </c>
      <c r="AG86" s="44" t="s">
        <v>80</v>
      </c>
      <c r="AH86" s="44" t="s">
        <v>81</v>
      </c>
      <c r="AI86" s="44">
        <v>2</v>
      </c>
      <c r="AJ86" s="44" t="s">
        <v>82</v>
      </c>
      <c r="AK86" s="47">
        <v>2</v>
      </c>
      <c r="AL86" s="47"/>
      <c r="AM86" s="47"/>
      <c r="AN86" s="47"/>
      <c r="AO86" s="47"/>
      <c r="AP86" s="47"/>
      <c r="AQ86" s="15">
        <f ca="1">IFERROR(__xludf.DUMMYFUNCTION("IFNA(DATEDIF(AV12, MAX(FILTER(AY12:CN12 ,  AY12:CN12&lt;&gt;"""")), ""m""), """")"),48)</f>
        <v>48</v>
      </c>
      <c r="AR86" s="44" t="s">
        <v>84</v>
      </c>
      <c r="AS86" s="44" t="s">
        <v>45</v>
      </c>
      <c r="AT86" s="44">
        <v>2</v>
      </c>
      <c r="AU86" s="44" t="s">
        <v>83</v>
      </c>
      <c r="AV86" s="47">
        <v>1</v>
      </c>
    </row>
    <row r="87" spans="1:48" ht="15.75" customHeight="1" x14ac:dyDescent="0.2">
      <c r="A87" s="12">
        <v>501709034</v>
      </c>
      <c r="B87" s="13">
        <v>1</v>
      </c>
      <c r="C87" s="13">
        <v>56</v>
      </c>
      <c r="D87" s="13">
        <v>2</v>
      </c>
      <c r="E87" s="13">
        <v>2</v>
      </c>
      <c r="F87" s="13">
        <v>2</v>
      </c>
      <c r="G87" s="19">
        <v>45930</v>
      </c>
      <c r="H87" s="15">
        <v>1</v>
      </c>
      <c r="I87" s="16"/>
      <c r="J87" s="13">
        <v>1</v>
      </c>
      <c r="K87" s="15">
        <v>12</v>
      </c>
      <c r="L87" s="15"/>
      <c r="M87" s="19">
        <v>45748</v>
      </c>
      <c r="N87" s="13">
        <v>1</v>
      </c>
      <c r="O87" s="13">
        <v>1</v>
      </c>
      <c r="P87" s="17"/>
      <c r="Q87" s="13">
        <v>2</v>
      </c>
      <c r="R87" s="13">
        <v>2</v>
      </c>
      <c r="S87" s="13">
        <v>2</v>
      </c>
      <c r="T87" s="13"/>
      <c r="U87" s="13"/>
      <c r="V87" s="14"/>
      <c r="W87" s="13"/>
      <c r="X87" s="13"/>
      <c r="Y87" s="15">
        <v>2</v>
      </c>
      <c r="Z87" s="15">
        <v>1</v>
      </c>
      <c r="AA87" s="15">
        <v>0</v>
      </c>
      <c r="AB87" s="15">
        <v>1</v>
      </c>
      <c r="AC87" s="15">
        <v>1</v>
      </c>
      <c r="AD87" s="13"/>
      <c r="AE87" s="15">
        <v>1</v>
      </c>
      <c r="AF87" s="15">
        <v>1</v>
      </c>
      <c r="AG87" s="13" t="s">
        <v>58</v>
      </c>
      <c r="AH87" s="13" t="s">
        <v>45</v>
      </c>
      <c r="AI87" s="13">
        <v>2</v>
      </c>
      <c r="AJ87" s="13">
        <v>11</v>
      </c>
      <c r="AK87" s="15">
        <v>2</v>
      </c>
      <c r="AL87" s="15"/>
      <c r="AM87" s="15"/>
      <c r="AN87" s="15"/>
      <c r="AO87" s="15"/>
      <c r="AP87" s="15"/>
      <c r="AQ87" s="15">
        <f ca="1">IFERROR(__xludf.DUMMYFUNCTION("IFNA(DATEDIF(AV7, MAX(FILTER(AY7:CN7 ,  AY7:CN7&lt;&gt;"""")), ""m""), """")"),53)</f>
        <v>53</v>
      </c>
      <c r="AR87" s="13" t="s">
        <v>45</v>
      </c>
      <c r="AS87" s="13" t="s">
        <v>45</v>
      </c>
      <c r="AT87" s="13">
        <v>2</v>
      </c>
      <c r="AU87" s="13">
        <v>10</v>
      </c>
      <c r="AV87" s="13">
        <v>1</v>
      </c>
    </row>
    <row r="88" spans="1:48" ht="15.75" customHeight="1" x14ac:dyDescent="0.2">
      <c r="A88" s="31">
        <v>400986220</v>
      </c>
      <c r="B88" s="44">
        <v>1</v>
      </c>
      <c r="C88" s="44">
        <v>22</v>
      </c>
      <c r="D88" s="44">
        <v>2</v>
      </c>
      <c r="E88" s="44">
        <v>2</v>
      </c>
      <c r="F88" s="44">
        <v>1</v>
      </c>
      <c r="G88" s="46">
        <v>45890</v>
      </c>
      <c r="H88" s="47">
        <v>1</v>
      </c>
      <c r="I88" s="16"/>
      <c r="J88" s="44">
        <v>1</v>
      </c>
      <c r="K88" s="47">
        <v>1</v>
      </c>
      <c r="L88" s="48"/>
      <c r="M88" s="44" t="s">
        <v>62</v>
      </c>
      <c r="N88" s="44">
        <v>1</v>
      </c>
      <c r="O88" s="44">
        <v>2</v>
      </c>
      <c r="P88" s="17"/>
      <c r="Q88" s="44">
        <v>2</v>
      </c>
      <c r="R88" s="44">
        <v>2</v>
      </c>
      <c r="S88" s="13">
        <v>2</v>
      </c>
      <c r="T88" s="44"/>
      <c r="U88" s="44"/>
      <c r="V88" s="45"/>
      <c r="W88" s="44"/>
      <c r="X88" s="44"/>
      <c r="Y88" s="47">
        <v>2</v>
      </c>
      <c r="Z88" s="47">
        <v>1</v>
      </c>
      <c r="AA88" s="47">
        <v>0</v>
      </c>
      <c r="AB88" s="47">
        <v>1</v>
      </c>
      <c r="AC88" s="47">
        <v>1</v>
      </c>
      <c r="AD88" s="47"/>
      <c r="AE88" s="47">
        <v>1</v>
      </c>
      <c r="AF88" s="15">
        <v>1</v>
      </c>
      <c r="AG88" s="44" t="s">
        <v>63</v>
      </c>
      <c r="AH88" s="44" t="s">
        <v>60</v>
      </c>
      <c r="AI88" s="44">
        <v>2</v>
      </c>
      <c r="AJ88" s="44" t="s">
        <v>64</v>
      </c>
      <c r="AK88" s="47">
        <v>2</v>
      </c>
      <c r="AL88" s="47"/>
      <c r="AM88" s="47"/>
      <c r="AN88" s="47"/>
      <c r="AO88" s="47"/>
      <c r="AP88" s="47"/>
      <c r="AQ88" s="15">
        <f ca="1">IFERROR(__xludf.DUMMYFUNCTION("IFNA(DATEDIF(AV5, MAX(FILTER(AY5:CN5 ,  AY5:CN5&lt;&gt;"""")), ""m""), """")"),55)</f>
        <v>55</v>
      </c>
      <c r="AR88" s="44" t="s">
        <v>45</v>
      </c>
      <c r="AS88" s="44" t="s">
        <v>63</v>
      </c>
      <c r="AT88" s="44">
        <v>2</v>
      </c>
      <c r="AU88" s="44">
        <v>11</v>
      </c>
      <c r="AV88" s="44">
        <v>1</v>
      </c>
    </row>
    <row r="89" spans="1:48" ht="15.75" customHeight="1" x14ac:dyDescent="0.2">
      <c r="A89" s="55">
        <v>501900666</v>
      </c>
      <c r="B89" s="44">
        <v>1</v>
      </c>
      <c r="C89" s="44">
        <v>54</v>
      </c>
      <c r="D89" s="44">
        <v>2</v>
      </c>
      <c r="E89" s="44">
        <v>2</v>
      </c>
      <c r="F89" s="44">
        <v>1</v>
      </c>
      <c r="G89" s="45">
        <v>35.200000000000003</v>
      </c>
      <c r="H89" s="47">
        <v>1</v>
      </c>
      <c r="I89" s="16"/>
      <c r="J89" s="44">
        <v>1</v>
      </c>
      <c r="K89" s="47"/>
      <c r="L89" s="47"/>
      <c r="M89" s="44"/>
      <c r="N89" s="44">
        <v>1</v>
      </c>
      <c r="O89" s="44">
        <v>2</v>
      </c>
      <c r="P89" s="17"/>
      <c r="Q89" s="44">
        <v>1</v>
      </c>
      <c r="R89" s="44">
        <v>2</v>
      </c>
      <c r="S89" s="13">
        <v>2</v>
      </c>
      <c r="T89" s="44"/>
      <c r="U89" s="44"/>
      <c r="V89" s="14"/>
      <c r="W89" s="44"/>
      <c r="X89" s="44"/>
      <c r="Y89" s="47">
        <v>2</v>
      </c>
      <c r="Z89" s="47">
        <v>1</v>
      </c>
      <c r="AA89" s="47">
        <v>3</v>
      </c>
      <c r="AB89" s="47">
        <v>1</v>
      </c>
      <c r="AC89" s="47">
        <v>1</v>
      </c>
      <c r="AD89" s="47"/>
      <c r="AE89" s="15">
        <v>2</v>
      </c>
      <c r="AF89" s="15">
        <v>3</v>
      </c>
      <c r="AG89" s="44"/>
      <c r="AH89" s="44"/>
      <c r="AI89" s="44"/>
      <c r="AJ89" s="44"/>
      <c r="AK89" s="47">
        <v>1</v>
      </c>
      <c r="AL89" s="47"/>
      <c r="AM89" s="47"/>
      <c r="AN89" s="47"/>
      <c r="AO89" s="47"/>
      <c r="AP89" s="47"/>
      <c r="AQ89" s="15">
        <f ca="1">IFERROR(__xludf.DUMMYFUNCTION("IFNA(DATEDIF(AV8, MAX(FILTER(AY8:CN8 ,  AY8:CN8&lt;&gt;"""")), ""m""), """")"),55)</f>
        <v>55</v>
      </c>
      <c r="AR89" s="44" t="s">
        <v>71</v>
      </c>
      <c r="AS89" s="44" t="s">
        <v>72</v>
      </c>
      <c r="AT89" s="44"/>
      <c r="AU89" s="46">
        <v>45760</v>
      </c>
      <c r="AV89" s="44">
        <v>3</v>
      </c>
    </row>
    <row r="90" spans="1:48" ht="15.75" customHeight="1" x14ac:dyDescent="0.2">
      <c r="A90" s="12">
        <v>603089236</v>
      </c>
      <c r="B90" s="33">
        <v>1</v>
      </c>
      <c r="C90" s="33">
        <v>52</v>
      </c>
      <c r="D90" s="33">
        <v>2</v>
      </c>
      <c r="E90" s="33">
        <v>2</v>
      </c>
      <c r="F90" s="33">
        <v>1</v>
      </c>
      <c r="G90" s="37">
        <v>45833</v>
      </c>
      <c r="H90" s="30">
        <v>1</v>
      </c>
      <c r="I90" s="16"/>
      <c r="J90" s="33">
        <v>1</v>
      </c>
      <c r="K90" s="30">
        <v>1</v>
      </c>
      <c r="L90" s="30"/>
      <c r="M90" s="37">
        <v>45718</v>
      </c>
      <c r="N90" s="33">
        <v>1</v>
      </c>
      <c r="O90" s="33">
        <v>1</v>
      </c>
      <c r="P90" s="17"/>
      <c r="Q90" s="33">
        <v>1</v>
      </c>
      <c r="R90" s="33">
        <v>1</v>
      </c>
      <c r="S90" s="13">
        <v>1</v>
      </c>
      <c r="T90" s="33">
        <v>8</v>
      </c>
      <c r="U90" s="33">
        <v>3</v>
      </c>
      <c r="V90" s="36">
        <f>(U90/T90)*100</f>
        <v>37.5</v>
      </c>
      <c r="W90" s="33" t="s">
        <v>74</v>
      </c>
      <c r="X90" s="33">
        <v>2</v>
      </c>
      <c r="Y90" s="30">
        <v>2</v>
      </c>
      <c r="Z90" s="30">
        <v>2</v>
      </c>
      <c r="AA90" s="30">
        <v>0</v>
      </c>
      <c r="AB90" s="30">
        <v>1</v>
      </c>
      <c r="AC90" s="30">
        <v>1</v>
      </c>
      <c r="AD90" s="30"/>
      <c r="AE90" s="30">
        <v>1</v>
      </c>
      <c r="AF90" s="30">
        <v>1</v>
      </c>
      <c r="AG90" s="33" t="s">
        <v>55</v>
      </c>
      <c r="AH90" s="33" t="s">
        <v>75</v>
      </c>
      <c r="AI90" s="33">
        <v>2</v>
      </c>
      <c r="AJ90" s="33">
        <v>18</v>
      </c>
      <c r="AK90" s="30">
        <v>1</v>
      </c>
      <c r="AL90" s="30">
        <v>100</v>
      </c>
      <c r="AM90" s="30"/>
      <c r="AN90" s="30"/>
      <c r="AO90" s="30"/>
      <c r="AP90" s="30"/>
      <c r="AQ90" s="15">
        <f ca="1">IFERROR(__xludf.DUMMYFUNCTION("IFNA(DATEDIF(AV10, MAX(FILTER(AY10:CN10 ,  AY10:CN10&lt;&gt;"""")), ""m""), """")"),56)</f>
        <v>56</v>
      </c>
      <c r="AR90" s="33" t="s">
        <v>74</v>
      </c>
      <c r="AS90" s="33" t="s">
        <v>60</v>
      </c>
      <c r="AT90" s="33">
        <v>2</v>
      </c>
      <c r="AU90" s="33">
        <v>14</v>
      </c>
      <c r="AV90" s="33">
        <v>1</v>
      </c>
    </row>
    <row r="91" spans="1:48" ht="15.75" customHeight="1" x14ac:dyDescent="0.2">
      <c r="A91" s="12">
        <v>601462708</v>
      </c>
      <c r="B91" s="44">
        <v>1</v>
      </c>
      <c r="C91" s="44">
        <v>78</v>
      </c>
      <c r="D91" s="44">
        <v>2</v>
      </c>
      <c r="E91" s="44">
        <v>2</v>
      </c>
      <c r="F91" s="44">
        <v>1</v>
      </c>
      <c r="G91" s="45">
        <v>29.5</v>
      </c>
      <c r="H91" s="47">
        <v>1</v>
      </c>
      <c r="I91" s="16"/>
      <c r="J91" s="44">
        <v>1</v>
      </c>
      <c r="K91" s="47">
        <v>1</v>
      </c>
      <c r="L91" s="47"/>
      <c r="M91" s="44"/>
      <c r="N91" s="44">
        <v>1</v>
      </c>
      <c r="O91" s="44">
        <v>2</v>
      </c>
      <c r="P91" s="17"/>
      <c r="Q91" s="44">
        <v>1</v>
      </c>
      <c r="R91" s="44">
        <v>1</v>
      </c>
      <c r="S91" s="13">
        <v>2</v>
      </c>
      <c r="T91" s="44"/>
      <c r="U91" s="44"/>
      <c r="V91" s="45"/>
      <c r="W91" s="44"/>
      <c r="X91" s="44"/>
      <c r="Y91" s="47">
        <v>2</v>
      </c>
      <c r="Z91" s="47">
        <v>1</v>
      </c>
      <c r="AA91" s="47">
        <v>0</v>
      </c>
      <c r="AB91" s="47">
        <v>1</v>
      </c>
      <c r="AC91" s="47">
        <v>1</v>
      </c>
      <c r="AD91" s="47"/>
      <c r="AE91" s="47">
        <v>2</v>
      </c>
      <c r="AF91" s="47">
        <v>3</v>
      </c>
      <c r="AG91" s="47"/>
      <c r="AH91" s="47"/>
      <c r="AI91" s="47"/>
      <c r="AJ91" s="47"/>
      <c r="AK91" s="47">
        <v>2</v>
      </c>
      <c r="AL91" s="47"/>
      <c r="AM91" s="47"/>
      <c r="AN91" s="47"/>
      <c r="AO91" s="47"/>
      <c r="AP91" s="47"/>
      <c r="AQ91" s="15">
        <f ca="1">IFERROR(__xludf.DUMMYFUNCTION("IFNA(DATEDIF(AV9, MAX(FILTER(AY9:CN9 ,  AY9:CN9&lt;&gt;"""")), ""m""), """")"),56)</f>
        <v>56</v>
      </c>
      <c r="AR91" s="47"/>
      <c r="AS91" s="47"/>
      <c r="AT91" s="47"/>
      <c r="AU91" s="47"/>
      <c r="AV91" s="47">
        <v>1</v>
      </c>
    </row>
    <row r="92" spans="1:48" ht="15.75" customHeight="1" x14ac:dyDescent="0.2">
      <c r="A92" s="18">
        <v>201469970</v>
      </c>
      <c r="B92" s="13">
        <v>1</v>
      </c>
      <c r="C92" s="13">
        <v>60</v>
      </c>
      <c r="D92" s="13">
        <v>2</v>
      </c>
      <c r="E92" s="13">
        <v>2</v>
      </c>
      <c r="F92" s="13">
        <v>1</v>
      </c>
      <c r="G92" s="19">
        <v>45867</v>
      </c>
      <c r="H92" s="15">
        <v>3</v>
      </c>
      <c r="I92" s="16"/>
      <c r="J92" s="13">
        <v>1</v>
      </c>
      <c r="K92" s="15">
        <v>3</v>
      </c>
      <c r="L92" s="15"/>
      <c r="M92" s="19">
        <v>45689</v>
      </c>
      <c r="N92" s="13">
        <v>1</v>
      </c>
      <c r="O92" s="13">
        <v>1</v>
      </c>
      <c r="P92" s="17"/>
      <c r="Q92" s="13">
        <v>1</v>
      </c>
      <c r="R92" s="13">
        <v>1</v>
      </c>
      <c r="S92" s="13">
        <v>1</v>
      </c>
      <c r="T92" s="13">
        <v>6</v>
      </c>
      <c r="U92" s="13">
        <v>3</v>
      </c>
      <c r="V92" s="14">
        <f>(U92/T92)*100</f>
        <v>50</v>
      </c>
      <c r="W92" s="13" t="s">
        <v>44</v>
      </c>
      <c r="X92" s="13">
        <v>2</v>
      </c>
      <c r="Y92" s="15">
        <v>2</v>
      </c>
      <c r="Z92" s="15">
        <v>1</v>
      </c>
      <c r="AA92" s="15">
        <v>1</v>
      </c>
      <c r="AB92" s="15">
        <v>1</v>
      </c>
      <c r="AC92" s="15">
        <v>1</v>
      </c>
      <c r="AD92" s="13"/>
      <c r="AE92" s="15">
        <v>2</v>
      </c>
      <c r="AF92" s="15">
        <v>3</v>
      </c>
      <c r="AG92" s="13" t="s">
        <v>45</v>
      </c>
      <c r="AH92" s="13" t="s">
        <v>46</v>
      </c>
      <c r="AI92" s="13">
        <v>2</v>
      </c>
      <c r="AJ92" s="13">
        <v>10</v>
      </c>
      <c r="AK92" s="15">
        <v>1</v>
      </c>
      <c r="AL92" s="13">
        <v>100</v>
      </c>
      <c r="AM92" s="13" t="s">
        <v>47</v>
      </c>
      <c r="AN92" s="13" t="s">
        <v>48</v>
      </c>
      <c r="AO92" s="13">
        <v>2</v>
      </c>
      <c r="AP92" s="13" t="s">
        <v>49</v>
      </c>
      <c r="AQ92" s="15">
        <f ca="1">IFERROR(__xludf.DUMMYFUNCTION("IFNA(DATEDIF(AV3, MAX(FILTER(AY3:CN3 ,  AY3:CN3&lt;&gt;"""")), ""m""), """")"),66)</f>
        <v>66</v>
      </c>
      <c r="AR92" s="13" t="s">
        <v>51</v>
      </c>
      <c r="AS92" s="13" t="s">
        <v>46</v>
      </c>
      <c r="AT92" s="13">
        <v>2</v>
      </c>
      <c r="AU92" s="13" t="s">
        <v>50</v>
      </c>
      <c r="AV92" s="44">
        <v>3</v>
      </c>
    </row>
    <row r="93" spans="1:48" ht="15.75" customHeight="1" x14ac:dyDescent="0.2">
      <c r="D93" s="13"/>
      <c r="E93" s="13"/>
      <c r="F93" s="13"/>
      <c r="G93" s="13"/>
      <c r="I93" s="16"/>
      <c r="J93" s="13"/>
      <c r="M93" s="13"/>
      <c r="N93" s="13"/>
      <c r="O93" s="13"/>
      <c r="P93" s="17"/>
      <c r="Q93" s="13"/>
      <c r="R93" s="13"/>
      <c r="S93" s="13"/>
      <c r="T93" s="13"/>
      <c r="U93" s="13"/>
      <c r="V93" s="14"/>
      <c r="W93" s="27"/>
      <c r="X93" s="27"/>
      <c r="Y93" s="15"/>
      <c r="AD93" s="15"/>
      <c r="AE93" s="15"/>
      <c r="AG93" s="13"/>
      <c r="AH93" s="13"/>
      <c r="AI93" s="13"/>
      <c r="AJ93" s="13"/>
      <c r="AL93" s="15"/>
      <c r="AQ93" s="15" t="str">
        <f ca="1">IFERROR(__xludf.DUMMYFUNCTION("IFNA(DATEDIF(AV101, MAX(FILTER(AY101:CN101 ,  AY101:CN101&lt;&gt;"""")), ""m""), """")"),"")</f>
        <v/>
      </c>
      <c r="AR93" s="13"/>
      <c r="AS93" s="13"/>
      <c r="AT93" s="13"/>
      <c r="AU93" s="13"/>
    </row>
    <row r="94" spans="1:48" ht="15.75" customHeight="1" x14ac:dyDescent="0.2">
      <c r="D94" s="13"/>
      <c r="E94" s="13"/>
      <c r="F94" s="13"/>
      <c r="G94" s="13"/>
      <c r="I94" s="16"/>
      <c r="J94" s="13"/>
      <c r="M94" s="13"/>
      <c r="N94" s="13"/>
      <c r="O94" s="13"/>
      <c r="P94" s="17"/>
      <c r="Q94" s="13"/>
      <c r="R94" s="13"/>
      <c r="S94" s="13"/>
      <c r="T94" s="13"/>
      <c r="U94" s="13"/>
      <c r="V94" s="14"/>
      <c r="W94" s="27"/>
      <c r="X94" s="27"/>
      <c r="Y94" s="15"/>
      <c r="AD94" s="15"/>
      <c r="AE94" s="15"/>
      <c r="AG94" s="13"/>
      <c r="AH94" s="13"/>
      <c r="AI94" s="13"/>
      <c r="AJ94" s="13"/>
      <c r="AL94" s="15"/>
      <c r="AQ94" s="15" t="str">
        <f ca="1">IFERROR(__xludf.DUMMYFUNCTION("IFNA(DATEDIF(AV102, MAX(FILTER(AY102:CN102 ,  AY102:CN102&lt;&gt;"""")), ""m""), """")"),"")</f>
        <v/>
      </c>
      <c r="AR94" s="13"/>
      <c r="AS94" s="13"/>
      <c r="AT94" s="13"/>
      <c r="AU94" s="13"/>
    </row>
    <row r="95" spans="1:48" ht="15.75" customHeight="1" x14ac:dyDescent="0.2">
      <c r="D95" s="13"/>
      <c r="E95" s="13"/>
      <c r="F95" s="13"/>
      <c r="G95" s="13"/>
      <c r="I95" s="16"/>
      <c r="J95" s="13"/>
      <c r="M95" s="13"/>
      <c r="N95" s="13"/>
      <c r="O95" s="13"/>
      <c r="P95" s="17"/>
      <c r="Q95" s="13"/>
      <c r="R95" s="13"/>
      <c r="S95" s="13"/>
      <c r="T95" s="13"/>
      <c r="U95" s="13"/>
      <c r="V95" s="14"/>
      <c r="W95" s="27"/>
      <c r="X95" s="27"/>
      <c r="Y95" s="15"/>
      <c r="AD95" s="15"/>
      <c r="AE95" s="15"/>
      <c r="AG95" s="13"/>
      <c r="AH95" s="13"/>
      <c r="AI95" s="13"/>
      <c r="AJ95" s="13"/>
      <c r="AL95" s="15"/>
      <c r="AQ95" s="15" t="str">
        <f ca="1">IFERROR(__xludf.DUMMYFUNCTION("IFNA(DATEDIF(AV103, MAX(FILTER(AY103:CN103 ,  AY103:CN103&lt;&gt;"""")), ""m""), """")"),"")</f>
        <v/>
      </c>
      <c r="AR95" s="13"/>
      <c r="AS95" s="13"/>
      <c r="AT95" s="13"/>
      <c r="AU95" s="13"/>
    </row>
    <row r="96" spans="1:48" ht="15.75" customHeight="1" x14ac:dyDescent="0.2">
      <c r="D96" s="13"/>
      <c r="F96" s="13"/>
      <c r="G96" s="13"/>
      <c r="I96" s="16"/>
      <c r="P96" s="16"/>
      <c r="V96" s="24"/>
      <c r="W96" s="28"/>
      <c r="X96" s="28"/>
      <c r="Y96" s="15"/>
      <c r="AD96" s="15"/>
      <c r="AE96" s="15"/>
      <c r="AG96" s="13"/>
      <c r="AH96" s="13"/>
      <c r="AI96" s="13"/>
      <c r="AJ96" s="13"/>
      <c r="AL96" s="15"/>
      <c r="AQ96" s="15" t="str">
        <f ca="1">IFERROR(__xludf.DUMMYFUNCTION("IFNA(DATEDIF(AV104, MAX(FILTER(AY104:CN104 ,  AY104:CN104&lt;&gt;"""")), ""m""), """")"),"")</f>
        <v/>
      </c>
      <c r="AR96" s="13"/>
      <c r="AS96" s="13"/>
      <c r="AT96" s="13"/>
      <c r="AU96" s="13"/>
    </row>
    <row r="97" spans="4:47" ht="15.75" customHeight="1" x14ac:dyDescent="0.2">
      <c r="D97" s="13"/>
      <c r="F97" s="13"/>
      <c r="G97" s="13"/>
      <c r="I97" s="16"/>
      <c r="P97" s="16"/>
      <c r="V97" s="24"/>
      <c r="W97" s="28"/>
      <c r="X97" s="28"/>
      <c r="Y97" s="15"/>
      <c r="AD97" s="15"/>
      <c r="AE97" s="15"/>
      <c r="AG97" s="13"/>
      <c r="AH97" s="13"/>
      <c r="AI97" s="13"/>
      <c r="AJ97" s="13"/>
      <c r="AL97" s="15"/>
      <c r="AQ97" s="15" t="str">
        <f ca="1">IFERROR(__xludf.DUMMYFUNCTION("IFNA(DATEDIF(AV105, MAX(FILTER(AY105:CN105 ,  AY105:CN105&lt;&gt;"""")), ""m""), """")"),"")</f>
        <v/>
      </c>
      <c r="AR97" s="13"/>
      <c r="AS97" s="13"/>
      <c r="AT97" s="13"/>
      <c r="AU97" s="13"/>
    </row>
    <row r="98" spans="4:47" ht="15.75" customHeight="1" x14ac:dyDescent="0.2">
      <c r="D98" s="13"/>
      <c r="F98" s="13"/>
      <c r="I98" s="16"/>
      <c r="P98" s="16"/>
      <c r="V98" s="24"/>
      <c r="W98" s="28"/>
      <c r="X98" s="28"/>
      <c r="Y98" s="15"/>
      <c r="AD98" s="15"/>
      <c r="AE98" s="15"/>
      <c r="AG98" s="13"/>
      <c r="AH98" s="13"/>
      <c r="AI98" s="13"/>
      <c r="AJ98" s="13"/>
      <c r="AL98" s="15"/>
      <c r="AQ98" s="15" t="str">
        <f ca="1">IFERROR(__xludf.DUMMYFUNCTION("IFNA(DATEDIF(AV106, MAX(FILTER(AY106:CN106 ,  AY106:CN106&lt;&gt;"""")), ""m""), """")"),"")</f>
        <v/>
      </c>
      <c r="AR98" s="13"/>
      <c r="AS98" s="13"/>
      <c r="AT98" s="13"/>
      <c r="AU98" s="13"/>
    </row>
    <row r="99" spans="4:47" ht="15.75" customHeight="1" x14ac:dyDescent="0.2">
      <c r="D99" s="13"/>
      <c r="F99" s="13"/>
      <c r="I99" s="16"/>
      <c r="P99" s="16"/>
      <c r="V99" s="24"/>
      <c r="W99" s="28"/>
      <c r="X99" s="28"/>
      <c r="Y99" s="15"/>
      <c r="AD99" s="15"/>
      <c r="AE99" s="15"/>
      <c r="AG99" s="13"/>
      <c r="AH99" s="13"/>
      <c r="AI99" s="13"/>
      <c r="AJ99" s="13"/>
      <c r="AL99" s="15"/>
      <c r="AQ99" s="15" t="str">
        <f ca="1">IFERROR(__xludf.DUMMYFUNCTION("IFNA(DATEDIF(AV107, MAX(FILTER(AY107:CN107 ,  AY107:CN107&lt;&gt;"""")), ""m""), """")"),"")</f>
        <v/>
      </c>
      <c r="AR99" s="13"/>
      <c r="AS99" s="13"/>
      <c r="AT99" s="13"/>
      <c r="AU99" s="13"/>
    </row>
    <row r="100" spans="4:47" ht="15.75" customHeight="1" x14ac:dyDescent="0.2">
      <c r="I100" s="16"/>
      <c r="P100" s="16"/>
      <c r="V100" s="24"/>
      <c r="W100" s="28"/>
      <c r="X100" s="28"/>
      <c r="Y100" s="15"/>
      <c r="AD100" s="15"/>
      <c r="AE100" s="15"/>
      <c r="AG100" s="13"/>
      <c r="AH100" s="13"/>
      <c r="AI100" s="13"/>
      <c r="AJ100" s="13"/>
      <c r="AL100" s="15"/>
      <c r="AQ100" s="15" t="str">
        <f ca="1">IFERROR(__xludf.DUMMYFUNCTION("IFNA(DATEDIF(AV108, MAX(FILTER(AY108:CN108 ,  AY108:CN108&lt;&gt;"""")), ""m""), """")"),"")</f>
        <v/>
      </c>
      <c r="AR100" s="13"/>
      <c r="AS100" s="13"/>
      <c r="AT100" s="13"/>
      <c r="AU100" s="13"/>
    </row>
    <row r="101" spans="4:47" ht="15.75" customHeight="1" x14ac:dyDescent="0.2">
      <c r="I101" s="16"/>
      <c r="P101" s="16"/>
      <c r="V101" s="24"/>
      <c r="W101" s="28"/>
      <c r="X101" s="28"/>
      <c r="Y101" s="15"/>
      <c r="AD101" s="15"/>
      <c r="AE101" s="15"/>
      <c r="AG101" s="13"/>
      <c r="AH101" s="13"/>
      <c r="AI101" s="13"/>
      <c r="AJ101" s="13"/>
      <c r="AL101" s="15"/>
      <c r="AQ101" s="15" t="str">
        <f ca="1">IFERROR(__xludf.DUMMYFUNCTION("IFNA(DATEDIF(AV109, MAX(FILTER(AY109:CN109 ,  AY109:CN109&lt;&gt;"""")), ""m""), """")"),"")</f>
        <v/>
      </c>
      <c r="AR101" s="13"/>
      <c r="AS101" s="13"/>
      <c r="AT101" s="13"/>
      <c r="AU101" s="13"/>
    </row>
    <row r="102" spans="4:47" ht="15.75" customHeight="1" x14ac:dyDescent="0.2">
      <c r="I102" s="16"/>
      <c r="P102" s="16"/>
      <c r="V102" s="24"/>
      <c r="W102" s="28"/>
      <c r="X102" s="28"/>
      <c r="Y102" s="15"/>
      <c r="AD102" s="15"/>
      <c r="AE102" s="15"/>
      <c r="AH102" s="13"/>
      <c r="AJ102" s="13"/>
      <c r="AL102" s="15"/>
      <c r="AQ102" s="15" t="str">
        <f ca="1">IFERROR(__xludf.DUMMYFUNCTION("IFNA(DATEDIF(AV110, MAX(FILTER(AY110:CN110 ,  AY110:CN110&lt;&gt;"""")), ""m""), """")"),"")</f>
        <v/>
      </c>
      <c r="AR102" s="13"/>
      <c r="AS102" s="13"/>
      <c r="AT102" s="13"/>
      <c r="AU102" s="13"/>
    </row>
    <row r="103" spans="4:47" ht="15.75" customHeight="1" x14ac:dyDescent="0.2">
      <c r="I103" s="16"/>
      <c r="P103" s="16"/>
      <c r="V103" s="24"/>
      <c r="W103" s="28"/>
      <c r="X103" s="28"/>
      <c r="Y103" s="15"/>
      <c r="AD103" s="15"/>
      <c r="AE103" s="15"/>
      <c r="AH103" s="13"/>
      <c r="AJ103" s="13"/>
      <c r="AL103" s="15"/>
      <c r="AQ103" s="15" t="str">
        <f ca="1">IFERROR(__xludf.DUMMYFUNCTION("IFNA(DATEDIF(AV111, MAX(FILTER(AY111:CN111 ,  AY111:CN111&lt;&gt;"""")), ""m""), """")"),"")</f>
        <v/>
      </c>
      <c r="AR103" s="13"/>
      <c r="AS103" s="13"/>
      <c r="AT103" s="13"/>
      <c r="AU103" s="13"/>
    </row>
    <row r="104" spans="4:47" ht="15.75" customHeight="1" x14ac:dyDescent="0.2">
      <c r="I104" s="16"/>
      <c r="P104" s="16"/>
      <c r="V104" s="24"/>
      <c r="W104" s="28"/>
      <c r="X104" s="28"/>
      <c r="Y104" s="15"/>
      <c r="AD104" s="15"/>
      <c r="AE104" s="15"/>
      <c r="AL104" s="15"/>
      <c r="AQ104" s="15" t="str">
        <f ca="1">IFERROR(__xludf.DUMMYFUNCTION("IFNA(DATEDIF(AV112, MAX(FILTER(AY112:CN112 ,  AY112:CN112&lt;&gt;"""")), ""m""), """")"),"")</f>
        <v/>
      </c>
      <c r="AR104" s="15"/>
      <c r="AS104" s="15"/>
      <c r="AT104" s="15"/>
      <c r="AU104" s="15"/>
    </row>
    <row r="105" spans="4:47" ht="15.75" customHeight="1" x14ac:dyDescent="0.2">
      <c r="I105" s="16"/>
      <c r="P105" s="16"/>
      <c r="V105" s="24"/>
      <c r="W105" s="28"/>
      <c r="X105" s="28"/>
      <c r="Y105" s="15"/>
      <c r="AD105" s="15"/>
      <c r="AE105" s="15"/>
      <c r="AL105" s="15"/>
      <c r="AQ105" s="15" t="str">
        <f ca="1">IFERROR(__xludf.DUMMYFUNCTION("IFNA(DATEDIF(AV113, MAX(FILTER(AY113:CN113 ,  AY113:CN113&lt;&gt;"""")), ""m""), """")"),"")</f>
        <v/>
      </c>
      <c r="AR105" s="15"/>
      <c r="AS105" s="15"/>
      <c r="AT105" s="15"/>
      <c r="AU105" s="15"/>
    </row>
    <row r="106" spans="4:47" ht="15.75" customHeight="1" x14ac:dyDescent="0.2">
      <c r="I106" s="16"/>
      <c r="P106" s="16"/>
      <c r="V106" s="24"/>
      <c r="W106" s="28"/>
      <c r="X106" s="28"/>
      <c r="Y106" s="15"/>
      <c r="AD106" s="15"/>
      <c r="AE106" s="15"/>
      <c r="AL106" s="15"/>
      <c r="AQ106" s="15" t="str">
        <f ca="1">IFERROR(__xludf.DUMMYFUNCTION("IFNA(DATEDIF(AV114, MAX(FILTER(AY114:CN114 ,  AY114:CN114&lt;&gt;"""")), ""m""), """")"),"")</f>
        <v/>
      </c>
      <c r="AR106" s="15"/>
      <c r="AS106" s="15"/>
      <c r="AT106" s="15"/>
      <c r="AU106" s="15"/>
    </row>
    <row r="107" spans="4:47" ht="15.75" customHeight="1" x14ac:dyDescent="0.2">
      <c r="I107" s="16"/>
      <c r="P107" s="16"/>
      <c r="V107" s="24"/>
      <c r="W107" s="28"/>
      <c r="X107" s="28"/>
      <c r="Y107" s="15"/>
      <c r="AD107" s="15"/>
      <c r="AE107" s="15"/>
      <c r="AL107" s="15"/>
      <c r="AQ107" s="15" t="str">
        <f ca="1">IFERROR(__xludf.DUMMYFUNCTION("IFNA(DATEDIF(AV115, MAX(FILTER(AY115:CN115 ,  AY115:CN115&lt;&gt;"""")), ""m""), """")"),"")</f>
        <v/>
      </c>
      <c r="AR107" s="15"/>
      <c r="AS107" s="15"/>
      <c r="AT107" s="15"/>
      <c r="AU107" s="15"/>
    </row>
    <row r="108" spans="4:47" ht="15.75" customHeight="1" x14ac:dyDescent="0.2">
      <c r="I108" s="16"/>
      <c r="P108" s="16"/>
      <c r="V108" s="24"/>
      <c r="W108" s="28"/>
      <c r="X108" s="28"/>
      <c r="Y108" s="15"/>
      <c r="AD108" s="15"/>
      <c r="AE108" s="15"/>
      <c r="AL108" s="15"/>
      <c r="AQ108" s="15" t="str">
        <f ca="1">IFERROR(__xludf.DUMMYFUNCTION("IFNA(DATEDIF(AV116, MAX(FILTER(AY116:CN116 ,  AY116:CN116&lt;&gt;"""")), ""m""), """")"),"")</f>
        <v/>
      </c>
      <c r="AR108" s="15"/>
      <c r="AS108" s="15"/>
      <c r="AT108" s="15"/>
      <c r="AU108" s="15"/>
    </row>
    <row r="109" spans="4:47" ht="15.75" customHeight="1" x14ac:dyDescent="0.2">
      <c r="I109" s="16"/>
      <c r="P109" s="16"/>
      <c r="V109" s="24"/>
      <c r="W109" s="28"/>
      <c r="X109" s="28"/>
      <c r="Y109" s="15"/>
      <c r="AD109" s="15"/>
      <c r="AE109" s="15"/>
      <c r="AL109" s="15"/>
      <c r="AQ109" s="15" t="str">
        <f ca="1">IFERROR(__xludf.DUMMYFUNCTION("IFNA(DATEDIF(AV117, MAX(FILTER(AY117:CN117 ,  AY117:CN117&lt;&gt;"""")), ""m""), """")"),"")</f>
        <v/>
      </c>
      <c r="AR109" s="15"/>
      <c r="AS109" s="15"/>
      <c r="AT109" s="15"/>
      <c r="AU109" s="15"/>
    </row>
    <row r="110" spans="4:47" ht="15.75" customHeight="1" x14ac:dyDescent="0.2">
      <c r="I110" s="16"/>
      <c r="P110" s="16"/>
      <c r="V110" s="24"/>
      <c r="W110" s="28"/>
      <c r="X110" s="28"/>
      <c r="Y110" s="15"/>
      <c r="AD110" s="15"/>
      <c r="AE110" s="15"/>
      <c r="AL110" s="15"/>
      <c r="AQ110" s="15" t="str">
        <f ca="1">IFERROR(__xludf.DUMMYFUNCTION("IFNA(DATEDIF(AV118, MAX(FILTER(AY118:CN118 ,  AY118:CN118&lt;&gt;"""")), ""m""), """")"),"")</f>
        <v/>
      </c>
      <c r="AR110" s="15"/>
      <c r="AS110" s="15"/>
      <c r="AT110" s="15"/>
      <c r="AU110" s="15"/>
    </row>
    <row r="111" spans="4:47" ht="15.75" customHeight="1" x14ac:dyDescent="0.2">
      <c r="I111" s="16"/>
      <c r="P111" s="16"/>
      <c r="V111" s="24"/>
      <c r="W111" s="28"/>
      <c r="X111" s="28"/>
      <c r="Y111" s="15"/>
      <c r="AD111" s="15"/>
      <c r="AE111" s="15"/>
      <c r="AL111" s="15"/>
      <c r="AQ111" s="15" t="str">
        <f ca="1">IFERROR(__xludf.DUMMYFUNCTION("IFNA(DATEDIF(AV119, MAX(FILTER(AY119:CN119 ,  AY119:CN119&lt;&gt;"""")), ""m""), """")"),"")</f>
        <v/>
      </c>
      <c r="AR111" s="15"/>
      <c r="AS111" s="15"/>
      <c r="AT111" s="15"/>
      <c r="AU111" s="15"/>
    </row>
    <row r="112" spans="4:47" ht="15.75" customHeight="1" x14ac:dyDescent="0.2">
      <c r="I112" s="16"/>
      <c r="P112" s="16"/>
      <c r="V112" s="24"/>
      <c r="W112" s="28"/>
      <c r="X112" s="28"/>
      <c r="Y112" s="15"/>
      <c r="AD112" s="15"/>
      <c r="AE112" s="15"/>
      <c r="AL112" s="15"/>
      <c r="AQ112" s="15" t="str">
        <f ca="1">IFERROR(__xludf.DUMMYFUNCTION("IFNA(DATEDIF(AV120, MAX(FILTER(AY120:CN120 ,  AY120:CN120&lt;&gt;"""")), ""m""), """")"),"")</f>
        <v/>
      </c>
      <c r="AR112" s="15"/>
      <c r="AS112" s="15"/>
      <c r="AT112" s="15"/>
      <c r="AU112" s="15"/>
    </row>
    <row r="113" spans="9:47" ht="15.75" customHeight="1" x14ac:dyDescent="0.2">
      <c r="I113" s="16"/>
      <c r="P113" s="16"/>
      <c r="V113" s="24"/>
      <c r="W113" s="28"/>
      <c r="X113" s="28"/>
      <c r="Y113" s="15"/>
      <c r="AD113" s="15"/>
      <c r="AE113" s="15"/>
      <c r="AL113" s="15"/>
      <c r="AQ113" s="15" t="str">
        <f ca="1">IFERROR(__xludf.DUMMYFUNCTION("IFNA(DATEDIF(AV121, MAX(FILTER(AY121:CN121 ,  AY121:CN121&lt;&gt;"""")), ""m""), """")"),"")</f>
        <v/>
      </c>
      <c r="AR113" s="15"/>
      <c r="AS113" s="15"/>
      <c r="AT113" s="15"/>
      <c r="AU113" s="15"/>
    </row>
    <row r="114" spans="9:47" ht="15.75" customHeight="1" x14ac:dyDescent="0.2">
      <c r="I114" s="16"/>
      <c r="P114" s="16"/>
      <c r="V114" s="24"/>
      <c r="W114" s="28"/>
      <c r="X114" s="28"/>
      <c r="Y114" s="15"/>
      <c r="AD114" s="15"/>
      <c r="AE114" s="15"/>
      <c r="AL114" s="15"/>
      <c r="AQ114" s="15" t="str">
        <f ca="1">IFERROR(__xludf.DUMMYFUNCTION("IFNA(DATEDIF(AV122, MAX(FILTER(AY122:CN122 ,  AY122:CN122&lt;&gt;"""")), ""m""), """")"),"")</f>
        <v/>
      </c>
      <c r="AR114" s="15"/>
      <c r="AS114" s="15"/>
      <c r="AT114" s="15"/>
      <c r="AU114" s="15"/>
    </row>
    <row r="115" spans="9:47" ht="15.75" customHeight="1" x14ac:dyDescent="0.2">
      <c r="I115" s="16"/>
      <c r="P115" s="16"/>
      <c r="V115" s="24"/>
      <c r="W115" s="28"/>
      <c r="X115" s="28"/>
      <c r="Y115" s="15"/>
      <c r="AD115" s="15"/>
      <c r="AE115" s="15"/>
      <c r="AL115" s="15"/>
      <c r="AQ115" s="15" t="str">
        <f ca="1">IFERROR(__xludf.DUMMYFUNCTION("IFNA(DATEDIF(AV123, MAX(FILTER(AY123:CN123 ,  AY123:CN123&lt;&gt;"""")), ""m""), """")"),"")</f>
        <v/>
      </c>
      <c r="AR115" s="15"/>
      <c r="AS115" s="15"/>
      <c r="AT115" s="15"/>
      <c r="AU115" s="15"/>
    </row>
    <row r="116" spans="9:47" ht="15.75" customHeight="1" x14ac:dyDescent="0.2">
      <c r="I116" s="16"/>
      <c r="P116" s="16"/>
      <c r="V116" s="24"/>
      <c r="W116" s="28"/>
      <c r="X116" s="28"/>
      <c r="Y116" s="15"/>
      <c r="AD116" s="15"/>
      <c r="AE116" s="15"/>
      <c r="AL116" s="15"/>
      <c r="AQ116" s="15" t="str">
        <f ca="1">IFERROR(__xludf.DUMMYFUNCTION("IFNA(DATEDIF(AV124, MAX(FILTER(AY124:CN124 ,  AY124:CN124&lt;&gt;"""")), ""m""), """")"),"")</f>
        <v/>
      </c>
      <c r="AR116" s="15"/>
      <c r="AS116" s="15"/>
      <c r="AT116" s="15"/>
      <c r="AU116" s="15"/>
    </row>
    <row r="117" spans="9:47" ht="15.75" customHeight="1" x14ac:dyDescent="0.2">
      <c r="I117" s="16"/>
      <c r="P117" s="16"/>
      <c r="V117" s="24"/>
      <c r="W117" s="28"/>
      <c r="X117" s="28"/>
      <c r="Y117" s="15"/>
      <c r="AD117" s="15"/>
      <c r="AE117" s="15"/>
      <c r="AL117" s="15"/>
      <c r="AQ117" s="15" t="str">
        <f ca="1">IFERROR(__xludf.DUMMYFUNCTION("IFNA(DATEDIF(AV125, MAX(FILTER(AY125:CN125 ,  AY125:CN125&lt;&gt;"""")), ""m""), """")"),"")</f>
        <v/>
      </c>
      <c r="AR117" s="15"/>
      <c r="AS117" s="15"/>
      <c r="AT117" s="15"/>
      <c r="AU117" s="15"/>
    </row>
    <row r="118" spans="9:47" ht="15.75" customHeight="1" x14ac:dyDescent="0.2">
      <c r="I118" s="16"/>
      <c r="P118" s="16"/>
      <c r="V118" s="24"/>
      <c r="W118" s="28"/>
      <c r="X118" s="28"/>
      <c r="Y118" s="15"/>
      <c r="AD118" s="15"/>
      <c r="AE118" s="15"/>
      <c r="AL118" s="15"/>
      <c r="AQ118" s="15" t="str">
        <f ca="1">IFERROR(__xludf.DUMMYFUNCTION("IFNA(DATEDIF(AV126, MAX(FILTER(AY126:CN126 ,  AY126:CN126&lt;&gt;"""")), ""m""), """")"),"")</f>
        <v/>
      </c>
      <c r="AR118" s="15"/>
      <c r="AS118" s="15"/>
      <c r="AT118" s="15"/>
      <c r="AU118" s="15"/>
    </row>
    <row r="119" spans="9:47" ht="15.75" customHeight="1" x14ac:dyDescent="0.2">
      <c r="I119" s="16"/>
      <c r="P119" s="16"/>
      <c r="V119" s="24"/>
      <c r="W119" s="28"/>
      <c r="X119" s="28"/>
      <c r="Y119" s="15"/>
      <c r="AD119" s="15"/>
      <c r="AE119" s="15"/>
      <c r="AL119" s="15"/>
      <c r="AQ119" s="15" t="str">
        <f ca="1">IFERROR(__xludf.DUMMYFUNCTION("IFNA(DATEDIF(AV127, MAX(FILTER(AY127:CN127 ,  AY127:CN127&lt;&gt;"""")), ""m""), """")"),"")</f>
        <v/>
      </c>
      <c r="AR119" s="15"/>
      <c r="AS119" s="15"/>
      <c r="AT119" s="15"/>
      <c r="AU119" s="15"/>
    </row>
    <row r="120" spans="9:47" ht="15.75" customHeight="1" x14ac:dyDescent="0.2">
      <c r="I120" s="16"/>
      <c r="P120" s="16"/>
      <c r="V120" s="24"/>
      <c r="W120" s="28"/>
      <c r="X120" s="28"/>
      <c r="Y120" s="15"/>
      <c r="AD120" s="15"/>
      <c r="AE120" s="15"/>
      <c r="AL120" s="15"/>
      <c r="AQ120" s="15" t="str">
        <f ca="1">IFERROR(__xludf.DUMMYFUNCTION("IFNA(DATEDIF(AV128, MAX(FILTER(AY128:CN128 ,  AY128:CN128&lt;&gt;"""")), ""m""), """")"),"")</f>
        <v/>
      </c>
      <c r="AR120" s="15"/>
      <c r="AS120" s="15"/>
      <c r="AT120" s="15"/>
      <c r="AU120" s="15"/>
    </row>
    <row r="121" spans="9:47" ht="15.75" customHeight="1" x14ac:dyDescent="0.2">
      <c r="I121" s="16"/>
      <c r="P121" s="16"/>
      <c r="V121" s="24"/>
      <c r="W121" s="28"/>
      <c r="X121" s="28"/>
      <c r="Y121" s="15"/>
      <c r="AD121" s="15"/>
      <c r="AE121" s="15"/>
      <c r="AL121" s="15"/>
      <c r="AQ121" s="15" t="str">
        <f ca="1">IFERROR(__xludf.DUMMYFUNCTION("IFNA(DATEDIF(AV129, MAX(FILTER(AY129:CN129 ,  AY129:CN129&lt;&gt;"""")), ""m""), """")"),"")</f>
        <v/>
      </c>
      <c r="AR121" s="15"/>
      <c r="AS121" s="15"/>
      <c r="AT121" s="15"/>
      <c r="AU121" s="15"/>
    </row>
    <row r="122" spans="9:47" ht="15.75" customHeight="1" x14ac:dyDescent="0.2">
      <c r="I122" s="16"/>
      <c r="P122" s="16"/>
      <c r="V122" s="24"/>
      <c r="W122" s="28"/>
      <c r="X122" s="28"/>
      <c r="Y122" s="15"/>
      <c r="AD122" s="15"/>
      <c r="AE122" s="15"/>
      <c r="AL122" s="15"/>
      <c r="AQ122" s="15" t="str">
        <f ca="1">IFERROR(__xludf.DUMMYFUNCTION("IFNA(DATEDIF(AV130, MAX(FILTER(AY130:CN130 ,  AY130:CN130&lt;&gt;"""")), ""m""), """")"),"")</f>
        <v/>
      </c>
      <c r="AR122" s="15"/>
      <c r="AS122" s="15"/>
      <c r="AT122" s="15"/>
      <c r="AU122" s="15"/>
    </row>
    <row r="123" spans="9:47" ht="15.75" customHeight="1" x14ac:dyDescent="0.2">
      <c r="I123" s="16"/>
      <c r="P123" s="16"/>
      <c r="V123" s="24"/>
      <c r="W123" s="28"/>
      <c r="X123" s="28"/>
      <c r="Y123" s="15"/>
      <c r="AD123" s="15"/>
      <c r="AE123" s="15"/>
      <c r="AL123" s="15"/>
      <c r="AQ123" s="15" t="str">
        <f ca="1">IFERROR(__xludf.DUMMYFUNCTION("IFNA(DATEDIF(AV131, MAX(FILTER(AY131:CN131 ,  AY131:CN131&lt;&gt;"""")), ""m""), """")"),"")</f>
        <v/>
      </c>
      <c r="AR123" s="15"/>
      <c r="AS123" s="15"/>
      <c r="AT123" s="15"/>
      <c r="AU123" s="15"/>
    </row>
    <row r="124" spans="9:47" ht="15.75" customHeight="1" x14ac:dyDescent="0.2">
      <c r="I124" s="16"/>
      <c r="P124" s="16"/>
      <c r="V124" s="24"/>
      <c r="W124" s="28"/>
      <c r="X124" s="28"/>
      <c r="Y124" s="15"/>
      <c r="AD124" s="15"/>
      <c r="AE124" s="15"/>
      <c r="AL124" s="15"/>
      <c r="AQ124" s="15" t="str">
        <f ca="1">IFERROR(__xludf.DUMMYFUNCTION("IFNA(DATEDIF(AV132, MAX(FILTER(AY132:CN132 ,  AY132:CN132&lt;&gt;"""")), ""m""), """")"),"")</f>
        <v/>
      </c>
      <c r="AR124" s="15"/>
      <c r="AS124" s="15"/>
      <c r="AT124" s="15"/>
      <c r="AU124" s="15"/>
    </row>
    <row r="125" spans="9:47" ht="15.75" customHeight="1" x14ac:dyDescent="0.2">
      <c r="I125" s="16"/>
      <c r="P125" s="16"/>
      <c r="V125" s="24"/>
      <c r="W125" s="28"/>
      <c r="X125" s="28"/>
      <c r="Y125" s="15"/>
      <c r="AD125" s="15"/>
      <c r="AE125" s="15"/>
      <c r="AL125" s="15"/>
      <c r="AQ125" s="15" t="str">
        <f ca="1">IFERROR(__xludf.DUMMYFUNCTION("IFNA(DATEDIF(AV133, MAX(FILTER(AY133:CN133 ,  AY133:CN133&lt;&gt;"""")), ""m""), """")"),"")</f>
        <v/>
      </c>
      <c r="AR125" s="15"/>
      <c r="AS125" s="15"/>
      <c r="AT125" s="15"/>
      <c r="AU125" s="15"/>
    </row>
    <row r="126" spans="9:47" ht="15.75" customHeight="1" x14ac:dyDescent="0.2">
      <c r="I126" s="16"/>
      <c r="P126" s="16"/>
      <c r="V126" s="24"/>
      <c r="W126" s="28"/>
      <c r="X126" s="28"/>
      <c r="Y126" s="15"/>
      <c r="AD126" s="15"/>
      <c r="AE126" s="15"/>
      <c r="AL126" s="15"/>
      <c r="AQ126" s="15" t="str">
        <f ca="1">IFERROR(__xludf.DUMMYFUNCTION("IFNA(DATEDIF(AV134, MAX(FILTER(AY134:CN134 ,  AY134:CN134&lt;&gt;"""")), ""m""), """")"),"")</f>
        <v/>
      </c>
      <c r="AR126" s="15"/>
      <c r="AS126" s="15"/>
      <c r="AT126" s="15"/>
      <c r="AU126" s="15"/>
    </row>
    <row r="127" spans="9:47" ht="15.75" customHeight="1" x14ac:dyDescent="0.2">
      <c r="I127" s="16"/>
      <c r="P127" s="16"/>
      <c r="V127" s="24"/>
      <c r="W127" s="28"/>
      <c r="X127" s="28"/>
      <c r="Y127" s="15"/>
      <c r="AD127" s="15"/>
      <c r="AE127" s="15"/>
      <c r="AL127" s="15"/>
      <c r="AQ127" s="15" t="str">
        <f ca="1">IFERROR(__xludf.DUMMYFUNCTION("IFNA(DATEDIF(AV135, MAX(FILTER(AY135:CN135 ,  AY135:CN135&lt;&gt;"""")), ""m""), """")"),"")</f>
        <v/>
      </c>
      <c r="AR127" s="15"/>
      <c r="AS127" s="15"/>
      <c r="AT127" s="15"/>
      <c r="AU127" s="15"/>
    </row>
    <row r="128" spans="9:47" ht="15.75" customHeight="1" x14ac:dyDescent="0.2">
      <c r="I128" s="16"/>
      <c r="P128" s="16"/>
      <c r="V128" s="24"/>
      <c r="W128" s="28"/>
      <c r="X128" s="28"/>
      <c r="Y128" s="15"/>
      <c r="AD128" s="15"/>
      <c r="AE128" s="15"/>
      <c r="AL128" s="15"/>
      <c r="AQ128" s="15" t="str">
        <f ca="1">IFERROR(__xludf.DUMMYFUNCTION("IFNA(DATEDIF(AV136, MAX(FILTER(AY136:CN136 ,  AY136:CN136&lt;&gt;"""")), ""m""), """")"),"")</f>
        <v/>
      </c>
      <c r="AR128" s="15"/>
      <c r="AS128" s="15"/>
      <c r="AT128" s="15"/>
      <c r="AU128" s="15"/>
    </row>
    <row r="129" spans="9:47" ht="15.75" customHeight="1" x14ac:dyDescent="0.2">
      <c r="I129" s="16"/>
      <c r="P129" s="16"/>
      <c r="V129" s="24"/>
      <c r="W129" s="28"/>
      <c r="X129" s="28"/>
      <c r="Y129" s="15"/>
      <c r="AD129" s="15"/>
      <c r="AE129" s="15"/>
      <c r="AL129" s="15"/>
      <c r="AQ129" s="15" t="str">
        <f ca="1">IFERROR(__xludf.DUMMYFUNCTION("IFNA(DATEDIF(AV137, MAX(FILTER(AY137:CN137 ,  AY137:CN137&lt;&gt;"""")), ""m""), """")"),"")</f>
        <v/>
      </c>
      <c r="AR129" s="15"/>
      <c r="AS129" s="15"/>
      <c r="AT129" s="15"/>
      <c r="AU129" s="15"/>
    </row>
    <row r="130" spans="9:47" ht="15.75" customHeight="1" x14ac:dyDescent="0.2">
      <c r="I130" s="16"/>
      <c r="P130" s="16"/>
      <c r="V130" s="24"/>
      <c r="W130" s="28"/>
      <c r="X130" s="28"/>
      <c r="Y130" s="15"/>
      <c r="AD130" s="15"/>
      <c r="AE130" s="15"/>
      <c r="AL130" s="15"/>
      <c r="AQ130" s="15" t="str">
        <f ca="1">IFERROR(__xludf.DUMMYFUNCTION("IFNA(DATEDIF(AV138, MAX(FILTER(AY138:CN138 ,  AY138:CN138&lt;&gt;"""")), ""m""), """")"),"")</f>
        <v/>
      </c>
      <c r="AR130" s="15"/>
      <c r="AS130" s="15"/>
      <c r="AT130" s="15"/>
      <c r="AU130" s="15"/>
    </row>
    <row r="131" spans="9:47" ht="15.75" customHeight="1" x14ac:dyDescent="0.2">
      <c r="I131" s="16"/>
      <c r="P131" s="16"/>
      <c r="V131" s="24"/>
      <c r="W131" s="28"/>
      <c r="X131" s="28"/>
      <c r="Y131" s="15"/>
      <c r="AD131" s="15"/>
      <c r="AE131" s="15"/>
      <c r="AL131" s="15"/>
      <c r="AQ131" s="15" t="str">
        <f ca="1">IFERROR(__xludf.DUMMYFUNCTION("IFNA(DATEDIF(AV139, MAX(FILTER(AY139:CN139 ,  AY139:CN139&lt;&gt;"""")), ""m""), """")"),"")</f>
        <v/>
      </c>
      <c r="AR131" s="15"/>
      <c r="AS131" s="15"/>
      <c r="AT131" s="15"/>
      <c r="AU131" s="15"/>
    </row>
    <row r="132" spans="9:47" ht="15.75" customHeight="1" x14ac:dyDescent="0.2">
      <c r="I132" s="16"/>
      <c r="P132" s="16"/>
      <c r="V132" s="24"/>
      <c r="W132" s="28"/>
      <c r="X132" s="28"/>
      <c r="Y132" s="15"/>
      <c r="AD132" s="15"/>
      <c r="AE132" s="15"/>
      <c r="AL132" s="15"/>
      <c r="AQ132" s="15" t="str">
        <f ca="1">IFERROR(__xludf.DUMMYFUNCTION("IFNA(DATEDIF(AV140, MAX(FILTER(AY140:CN140 ,  AY140:CN140&lt;&gt;"""")), ""m""), """")"),"")</f>
        <v/>
      </c>
      <c r="AR132" s="15"/>
      <c r="AS132" s="15"/>
      <c r="AT132" s="15"/>
      <c r="AU132" s="15"/>
    </row>
    <row r="133" spans="9:47" ht="15.75" customHeight="1" x14ac:dyDescent="0.2">
      <c r="I133" s="16"/>
      <c r="P133" s="16"/>
      <c r="V133" s="24"/>
      <c r="W133" s="28"/>
      <c r="X133" s="28"/>
      <c r="Y133" s="15"/>
      <c r="AD133" s="15"/>
      <c r="AE133" s="15"/>
      <c r="AL133" s="15"/>
      <c r="AQ133" s="15" t="str">
        <f ca="1">IFERROR(__xludf.DUMMYFUNCTION("IFNA(DATEDIF(AV141, MAX(FILTER(AY141:CN141 ,  AY141:CN141&lt;&gt;"""")), ""m""), """")"),"")</f>
        <v/>
      </c>
      <c r="AR133" s="15"/>
      <c r="AS133" s="15"/>
      <c r="AT133" s="15"/>
      <c r="AU133" s="15"/>
    </row>
    <row r="134" spans="9:47" ht="15.75" customHeight="1" x14ac:dyDescent="0.2">
      <c r="I134" s="16"/>
      <c r="P134" s="16"/>
      <c r="V134" s="24"/>
      <c r="W134" s="28"/>
      <c r="X134" s="28"/>
      <c r="Y134" s="15"/>
      <c r="AD134" s="15"/>
      <c r="AE134" s="15"/>
      <c r="AL134" s="15"/>
      <c r="AQ134" s="15" t="str">
        <f ca="1">IFERROR(__xludf.DUMMYFUNCTION("IFNA(DATEDIF(AV142, MAX(FILTER(AY142:CN142 ,  AY142:CN142&lt;&gt;"""")), ""m""), """")"),"")</f>
        <v/>
      </c>
      <c r="AR134" s="15"/>
      <c r="AS134" s="15"/>
      <c r="AT134" s="15"/>
      <c r="AU134" s="15"/>
    </row>
    <row r="135" spans="9:47" ht="15.75" customHeight="1" x14ac:dyDescent="0.2">
      <c r="I135" s="16"/>
      <c r="P135" s="16"/>
      <c r="V135" s="24"/>
      <c r="W135" s="28"/>
      <c r="X135" s="28"/>
      <c r="Y135" s="15"/>
      <c r="AD135" s="15"/>
      <c r="AE135" s="15"/>
      <c r="AL135" s="15"/>
      <c r="AQ135" s="15" t="str">
        <f ca="1">IFERROR(__xludf.DUMMYFUNCTION("IFNA(DATEDIF(AV143, MAX(FILTER(AY143:CN143 ,  AY143:CN143&lt;&gt;"""")), ""m""), """")"),"")</f>
        <v/>
      </c>
      <c r="AR135" s="15"/>
      <c r="AS135" s="15"/>
      <c r="AT135" s="15"/>
      <c r="AU135" s="15"/>
    </row>
    <row r="136" spans="9:47" ht="15.75" customHeight="1" x14ac:dyDescent="0.2">
      <c r="I136" s="16"/>
      <c r="P136" s="16"/>
      <c r="V136" s="24"/>
      <c r="W136" s="28"/>
      <c r="X136" s="28"/>
      <c r="Y136" s="15"/>
      <c r="AD136" s="15"/>
      <c r="AE136" s="15"/>
      <c r="AL136" s="15"/>
      <c r="AQ136" s="15" t="str">
        <f ca="1">IFERROR(__xludf.DUMMYFUNCTION("IFNA(DATEDIF(AV144, MAX(FILTER(AY144:CN144 ,  AY144:CN144&lt;&gt;"""")), ""m""), """")"),"")</f>
        <v/>
      </c>
      <c r="AR136" s="15"/>
      <c r="AS136" s="15"/>
      <c r="AT136" s="15"/>
      <c r="AU136" s="15"/>
    </row>
    <row r="137" spans="9:47" ht="15.75" customHeight="1" x14ac:dyDescent="0.2">
      <c r="I137" s="16"/>
      <c r="P137" s="16"/>
      <c r="V137" s="24"/>
      <c r="W137" s="28"/>
      <c r="X137" s="28"/>
      <c r="Y137" s="15"/>
      <c r="AD137" s="15"/>
      <c r="AE137" s="15"/>
      <c r="AL137" s="15"/>
      <c r="AQ137" s="15" t="str">
        <f ca="1">IFERROR(__xludf.DUMMYFUNCTION("IFNA(DATEDIF(AV145, MAX(FILTER(AY145:CN145 ,  AY145:CN145&lt;&gt;"""")), ""m""), """")"),"")</f>
        <v/>
      </c>
      <c r="AR137" s="15"/>
      <c r="AS137" s="15"/>
      <c r="AT137" s="15"/>
      <c r="AU137" s="15"/>
    </row>
    <row r="138" spans="9:47" ht="15.75" customHeight="1" x14ac:dyDescent="0.2">
      <c r="I138" s="16"/>
      <c r="P138" s="16"/>
      <c r="V138" s="24"/>
      <c r="W138" s="28"/>
      <c r="X138" s="28"/>
      <c r="Y138" s="15"/>
      <c r="AD138" s="15"/>
      <c r="AE138" s="15"/>
      <c r="AL138" s="15"/>
      <c r="AQ138" s="15" t="str">
        <f ca="1">IFERROR(__xludf.DUMMYFUNCTION("IFNA(DATEDIF(AV146, MAX(FILTER(AY146:CN146 ,  AY146:CN146&lt;&gt;"""")), ""m""), """")"),"")</f>
        <v/>
      </c>
      <c r="AR138" s="15"/>
      <c r="AS138" s="15"/>
      <c r="AT138" s="15"/>
      <c r="AU138" s="15"/>
    </row>
    <row r="139" spans="9:47" ht="15.75" customHeight="1" x14ac:dyDescent="0.2">
      <c r="I139" s="16"/>
      <c r="P139" s="16"/>
      <c r="V139" s="24"/>
      <c r="W139" s="28"/>
      <c r="X139" s="28"/>
      <c r="Y139" s="15"/>
      <c r="AD139" s="15"/>
      <c r="AE139" s="15"/>
      <c r="AL139" s="15"/>
      <c r="AQ139" s="15" t="str">
        <f ca="1">IFERROR(__xludf.DUMMYFUNCTION("IFNA(DATEDIF(AV147, MAX(FILTER(AY147:CN147 ,  AY147:CN147&lt;&gt;"""")), ""m""), """")"),"")</f>
        <v/>
      </c>
      <c r="AR139" s="15"/>
      <c r="AS139" s="15"/>
      <c r="AT139" s="15"/>
      <c r="AU139" s="15"/>
    </row>
    <row r="140" spans="9:47" ht="15.75" customHeight="1" x14ac:dyDescent="0.2">
      <c r="I140" s="16"/>
      <c r="P140" s="16"/>
      <c r="V140" s="24"/>
      <c r="W140" s="28"/>
      <c r="X140" s="28"/>
      <c r="Y140" s="15"/>
      <c r="AD140" s="15"/>
      <c r="AE140" s="15"/>
      <c r="AL140" s="15"/>
      <c r="AQ140" s="15" t="str">
        <f ca="1">IFERROR(__xludf.DUMMYFUNCTION("IFNA(DATEDIF(AV148, MAX(FILTER(AY148:CN148 ,  AY148:CN148&lt;&gt;"""")), ""m""), """")"),"")</f>
        <v/>
      </c>
      <c r="AR140" s="15"/>
      <c r="AS140" s="15"/>
      <c r="AT140" s="15"/>
      <c r="AU140" s="15"/>
    </row>
    <row r="141" spans="9:47" ht="15.75" customHeight="1" x14ac:dyDescent="0.2">
      <c r="I141" s="16"/>
      <c r="P141" s="16"/>
      <c r="V141" s="24"/>
      <c r="W141" s="28"/>
      <c r="X141" s="28"/>
      <c r="Y141" s="15"/>
      <c r="AD141" s="15"/>
      <c r="AE141" s="15"/>
      <c r="AL141" s="15"/>
      <c r="AQ141" s="15" t="str">
        <f ca="1">IFERROR(__xludf.DUMMYFUNCTION("IFNA(DATEDIF(AV149, MAX(FILTER(AY149:CN149 ,  AY149:CN149&lt;&gt;"""")), ""m""), """")"),"")</f>
        <v/>
      </c>
      <c r="AR141" s="15"/>
      <c r="AS141" s="15"/>
      <c r="AT141" s="15"/>
      <c r="AU141" s="15"/>
    </row>
    <row r="142" spans="9:47" ht="15.75" customHeight="1" x14ac:dyDescent="0.2">
      <c r="I142" s="16"/>
      <c r="P142" s="16"/>
      <c r="V142" s="24"/>
      <c r="W142" s="28"/>
      <c r="X142" s="28"/>
      <c r="Y142" s="15"/>
      <c r="AD142" s="15"/>
      <c r="AE142" s="15"/>
      <c r="AL142" s="15"/>
      <c r="AQ142" s="15" t="str">
        <f ca="1">IFERROR(__xludf.DUMMYFUNCTION("IFNA(DATEDIF(AV150, MAX(FILTER(AY150:CN150 ,  AY150:CN150&lt;&gt;"""")), ""m""), """")"),"")</f>
        <v/>
      </c>
      <c r="AR142" s="15"/>
      <c r="AS142" s="15"/>
      <c r="AT142" s="15"/>
      <c r="AU142" s="15"/>
    </row>
    <row r="143" spans="9:47" ht="15.75" customHeight="1" x14ac:dyDescent="0.2">
      <c r="I143" s="16"/>
      <c r="P143" s="16"/>
      <c r="V143" s="24"/>
      <c r="W143" s="28"/>
      <c r="X143" s="28"/>
      <c r="Y143" s="15"/>
      <c r="AD143" s="15"/>
      <c r="AE143" s="15"/>
      <c r="AL143" s="15"/>
      <c r="AQ143" s="15" t="str">
        <f ca="1">IFERROR(__xludf.DUMMYFUNCTION("IFNA(DATEDIF(AV151, MAX(FILTER(AY151:CN151 ,  AY151:CN151&lt;&gt;"""")), ""m""), """")"),"")</f>
        <v/>
      </c>
      <c r="AR143" s="15"/>
      <c r="AS143" s="15"/>
      <c r="AT143" s="15"/>
      <c r="AU143" s="15"/>
    </row>
    <row r="144" spans="9:47" ht="15.75" customHeight="1" x14ac:dyDescent="0.2">
      <c r="I144" s="16"/>
      <c r="P144" s="16"/>
      <c r="V144" s="24"/>
      <c r="W144" s="28"/>
      <c r="X144" s="28"/>
      <c r="Y144" s="15"/>
      <c r="AD144" s="15"/>
      <c r="AE144" s="15"/>
      <c r="AL144" s="15"/>
      <c r="AQ144" s="15" t="str">
        <f ca="1">IFERROR(__xludf.DUMMYFUNCTION("IFNA(DATEDIF(AV152, MAX(FILTER(AY152:CN152 ,  AY152:CN152&lt;&gt;"""")), ""m""), """")"),"")</f>
        <v/>
      </c>
      <c r="AR144" s="15"/>
      <c r="AS144" s="15"/>
      <c r="AT144" s="15"/>
      <c r="AU144" s="15"/>
    </row>
    <row r="145" spans="9:47" ht="15.75" customHeight="1" x14ac:dyDescent="0.2">
      <c r="I145" s="16"/>
      <c r="P145" s="16"/>
      <c r="V145" s="24"/>
      <c r="W145" s="28"/>
      <c r="X145" s="28"/>
      <c r="Y145" s="15"/>
      <c r="AD145" s="15"/>
      <c r="AE145" s="15"/>
      <c r="AL145" s="15"/>
      <c r="AQ145" s="15" t="str">
        <f ca="1">IFERROR(__xludf.DUMMYFUNCTION("IFNA(DATEDIF(AV153, MAX(FILTER(AY153:CN153 ,  AY153:CN153&lt;&gt;"""")), ""m""), """")"),"")</f>
        <v/>
      </c>
      <c r="AR145" s="15"/>
      <c r="AS145" s="15"/>
      <c r="AT145" s="15"/>
      <c r="AU145" s="15"/>
    </row>
    <row r="146" spans="9:47" ht="15.75" customHeight="1" x14ac:dyDescent="0.2">
      <c r="I146" s="16"/>
      <c r="P146" s="16"/>
      <c r="V146" s="24"/>
      <c r="W146" s="28"/>
      <c r="X146" s="28"/>
      <c r="Y146" s="15"/>
      <c r="AD146" s="15"/>
      <c r="AE146" s="15"/>
      <c r="AL146" s="15"/>
      <c r="AQ146" s="15" t="str">
        <f ca="1">IFERROR(__xludf.DUMMYFUNCTION("IFNA(DATEDIF(AV154, MAX(FILTER(AY154:CN154 ,  AY154:CN154&lt;&gt;"""")), ""m""), """")"),"")</f>
        <v/>
      </c>
      <c r="AR146" s="15"/>
      <c r="AS146" s="15"/>
      <c r="AT146" s="15"/>
      <c r="AU146" s="15"/>
    </row>
    <row r="147" spans="9:47" ht="15.75" customHeight="1" x14ac:dyDescent="0.2">
      <c r="I147" s="16"/>
      <c r="P147" s="16"/>
      <c r="V147" s="24"/>
      <c r="W147" s="28"/>
      <c r="X147" s="28"/>
      <c r="Y147" s="15"/>
      <c r="AD147" s="15"/>
      <c r="AE147" s="15"/>
      <c r="AL147" s="15"/>
      <c r="AQ147" s="15" t="str">
        <f ca="1">IFERROR(__xludf.DUMMYFUNCTION("IFNA(DATEDIF(AV155, MAX(FILTER(AY155:CN155 ,  AY155:CN155&lt;&gt;"""")), ""m""), """")"),"")</f>
        <v/>
      </c>
      <c r="AR147" s="15"/>
      <c r="AS147" s="15"/>
      <c r="AT147" s="15"/>
      <c r="AU147" s="15"/>
    </row>
    <row r="148" spans="9:47" ht="15.75" customHeight="1" x14ac:dyDescent="0.2">
      <c r="I148" s="16"/>
      <c r="P148" s="16"/>
      <c r="V148" s="24"/>
      <c r="W148" s="28"/>
      <c r="X148" s="28"/>
      <c r="Y148" s="15"/>
      <c r="AD148" s="15"/>
      <c r="AE148" s="15"/>
      <c r="AL148" s="15"/>
      <c r="AQ148" s="15" t="str">
        <f ca="1">IFERROR(__xludf.DUMMYFUNCTION("IFNA(DATEDIF(AV156, MAX(FILTER(AY156:CN156 ,  AY156:CN156&lt;&gt;"""")), ""m""), """")"),"")</f>
        <v/>
      </c>
      <c r="AR148" s="15"/>
      <c r="AS148" s="15"/>
      <c r="AT148" s="15"/>
      <c r="AU148" s="15"/>
    </row>
    <row r="149" spans="9:47" ht="15.75" customHeight="1" x14ac:dyDescent="0.2">
      <c r="I149" s="16"/>
      <c r="P149" s="16"/>
      <c r="V149" s="24"/>
      <c r="W149" s="28"/>
      <c r="X149" s="28"/>
      <c r="Y149" s="15"/>
      <c r="AD149" s="15"/>
      <c r="AE149" s="15"/>
      <c r="AL149" s="15"/>
      <c r="AQ149" s="15" t="str">
        <f ca="1">IFERROR(__xludf.DUMMYFUNCTION("IFNA(DATEDIF(AV157, MAX(FILTER(AY157:CN157 ,  AY157:CN157&lt;&gt;"""")), ""m""), """")"),"")</f>
        <v/>
      </c>
      <c r="AR149" s="15"/>
      <c r="AS149" s="15"/>
      <c r="AT149" s="15"/>
      <c r="AU149" s="15"/>
    </row>
    <row r="150" spans="9:47" ht="15.75" customHeight="1" x14ac:dyDescent="0.2">
      <c r="I150" s="16"/>
      <c r="P150" s="16"/>
      <c r="V150" s="24"/>
      <c r="W150" s="28"/>
      <c r="X150" s="28"/>
      <c r="Y150" s="15"/>
      <c r="AD150" s="15"/>
      <c r="AE150" s="15"/>
      <c r="AL150" s="15"/>
      <c r="AQ150" s="15" t="str">
        <f ca="1">IFERROR(__xludf.DUMMYFUNCTION("IFNA(DATEDIF(AV158, MAX(FILTER(AY158:CN158 ,  AY158:CN158&lt;&gt;"""")), ""m""), """")"),"")</f>
        <v/>
      </c>
      <c r="AR150" s="15"/>
      <c r="AS150" s="15"/>
      <c r="AT150" s="15"/>
      <c r="AU150" s="15"/>
    </row>
    <row r="151" spans="9:47" ht="15.75" customHeight="1" x14ac:dyDescent="0.2">
      <c r="I151" s="16"/>
      <c r="P151" s="16"/>
      <c r="V151" s="24"/>
      <c r="W151" s="28"/>
      <c r="X151" s="28"/>
      <c r="Y151" s="15"/>
      <c r="AD151" s="15"/>
      <c r="AE151" s="15"/>
      <c r="AL151" s="15"/>
      <c r="AQ151" s="15" t="str">
        <f ca="1">IFERROR(__xludf.DUMMYFUNCTION("IFNA(DATEDIF(AV159, MAX(FILTER(AY159:CN159 ,  AY159:CN159&lt;&gt;"""")), ""m""), """")"),"")</f>
        <v/>
      </c>
      <c r="AR151" s="15"/>
      <c r="AS151" s="15"/>
      <c r="AT151" s="15"/>
      <c r="AU151" s="15"/>
    </row>
    <row r="152" spans="9:47" ht="15.75" customHeight="1" x14ac:dyDescent="0.2">
      <c r="I152" s="16"/>
      <c r="P152" s="16"/>
      <c r="V152" s="24"/>
      <c r="W152" s="28"/>
      <c r="X152" s="28"/>
      <c r="Y152" s="15"/>
      <c r="AD152" s="15"/>
      <c r="AE152" s="15"/>
      <c r="AL152" s="15"/>
      <c r="AQ152" s="15" t="str">
        <f ca="1">IFERROR(__xludf.DUMMYFUNCTION("IFNA(DATEDIF(AV160, MAX(FILTER(AY160:CN160 ,  AY160:CN160&lt;&gt;"""")), ""m""), """")"),"")</f>
        <v/>
      </c>
      <c r="AR152" s="15"/>
      <c r="AS152" s="15"/>
      <c r="AT152" s="15"/>
      <c r="AU152" s="15"/>
    </row>
    <row r="153" spans="9:47" ht="15.75" customHeight="1" x14ac:dyDescent="0.2">
      <c r="I153" s="16"/>
      <c r="P153" s="16"/>
      <c r="V153" s="24"/>
      <c r="W153" s="28"/>
      <c r="X153" s="28"/>
      <c r="Y153" s="15"/>
      <c r="AD153" s="15"/>
      <c r="AE153" s="15"/>
      <c r="AL153" s="15"/>
      <c r="AQ153" s="15" t="str">
        <f ca="1">IFERROR(__xludf.DUMMYFUNCTION("IFNA(DATEDIF(AV161, MAX(FILTER(AY161:CN161 ,  AY161:CN161&lt;&gt;"""")), ""m""), """")"),"")</f>
        <v/>
      </c>
      <c r="AR153" s="15"/>
      <c r="AS153" s="15"/>
      <c r="AT153" s="15"/>
      <c r="AU153" s="15"/>
    </row>
    <row r="154" spans="9:47" ht="15.75" customHeight="1" x14ac:dyDescent="0.2">
      <c r="I154" s="16"/>
      <c r="P154" s="16"/>
      <c r="V154" s="24"/>
      <c r="W154" s="28"/>
      <c r="X154" s="28"/>
      <c r="Y154" s="15"/>
      <c r="AD154" s="15"/>
      <c r="AE154" s="15"/>
      <c r="AL154" s="15"/>
      <c r="AQ154" s="15" t="str">
        <f ca="1">IFERROR(__xludf.DUMMYFUNCTION("IFNA(DATEDIF(AV162, MAX(FILTER(AY162:CN162 ,  AY162:CN162&lt;&gt;"""")), ""m""), """")"),"")</f>
        <v/>
      </c>
      <c r="AR154" s="15"/>
      <c r="AS154" s="15"/>
      <c r="AT154" s="15"/>
      <c r="AU154" s="15"/>
    </row>
    <row r="155" spans="9:47" ht="15.75" customHeight="1" x14ac:dyDescent="0.2">
      <c r="I155" s="16"/>
      <c r="P155" s="16"/>
      <c r="V155" s="24"/>
      <c r="W155" s="28"/>
      <c r="X155" s="28"/>
      <c r="Y155" s="15"/>
      <c r="AD155" s="15"/>
      <c r="AE155" s="15"/>
      <c r="AL155" s="15"/>
      <c r="AQ155" s="15" t="str">
        <f ca="1">IFERROR(__xludf.DUMMYFUNCTION("IFNA(DATEDIF(AV163, MAX(FILTER(AY163:CN163 ,  AY163:CN163&lt;&gt;"""")), ""m""), """")"),"")</f>
        <v/>
      </c>
      <c r="AR155" s="15"/>
      <c r="AS155" s="15"/>
      <c r="AT155" s="15"/>
      <c r="AU155" s="15"/>
    </row>
    <row r="156" spans="9:47" ht="15.75" customHeight="1" x14ac:dyDescent="0.2">
      <c r="I156" s="16"/>
      <c r="P156" s="16"/>
      <c r="V156" s="24"/>
      <c r="W156" s="28"/>
      <c r="X156" s="28"/>
      <c r="Y156" s="15"/>
      <c r="AD156" s="15"/>
      <c r="AE156" s="15"/>
      <c r="AL156" s="15"/>
      <c r="AQ156" s="15" t="str">
        <f ca="1">IFERROR(__xludf.DUMMYFUNCTION("IFNA(DATEDIF(AV164, MAX(FILTER(AY164:CN164 ,  AY164:CN164&lt;&gt;"""")), ""m""), """")"),"")</f>
        <v/>
      </c>
      <c r="AR156" s="15"/>
      <c r="AS156" s="15"/>
      <c r="AT156" s="15"/>
      <c r="AU156" s="15"/>
    </row>
    <row r="157" spans="9:47" ht="15.75" customHeight="1" x14ac:dyDescent="0.2">
      <c r="I157" s="16"/>
      <c r="P157" s="16"/>
      <c r="V157" s="24"/>
      <c r="W157" s="28"/>
      <c r="X157" s="28"/>
      <c r="Y157" s="15"/>
      <c r="AD157" s="15"/>
      <c r="AE157" s="15"/>
      <c r="AL157" s="15"/>
      <c r="AQ157" s="15" t="str">
        <f ca="1">IFERROR(__xludf.DUMMYFUNCTION("IFNA(DATEDIF(AV165, MAX(FILTER(AY165:CN165 ,  AY165:CN165&lt;&gt;"""")), ""m""), """")"),"")</f>
        <v/>
      </c>
      <c r="AR157" s="15"/>
      <c r="AS157" s="15"/>
      <c r="AT157" s="15"/>
      <c r="AU157" s="15"/>
    </row>
    <row r="158" spans="9:47" ht="15.75" customHeight="1" x14ac:dyDescent="0.2">
      <c r="I158" s="16"/>
      <c r="P158" s="16"/>
      <c r="V158" s="24"/>
      <c r="W158" s="28"/>
      <c r="X158" s="28"/>
      <c r="Y158" s="15"/>
      <c r="AD158" s="15"/>
      <c r="AE158" s="15"/>
      <c r="AL158" s="15"/>
      <c r="AQ158" s="15" t="str">
        <f ca="1">IFERROR(__xludf.DUMMYFUNCTION("IFNA(DATEDIF(AV166, MAX(FILTER(AY166:CN166 ,  AY166:CN166&lt;&gt;"""")), ""m""), """")"),"")</f>
        <v/>
      </c>
      <c r="AR158" s="29"/>
      <c r="AS158" s="29"/>
      <c r="AT158" s="29"/>
      <c r="AU158" s="29"/>
    </row>
    <row r="159" spans="9:47" ht="15.75" customHeight="1" x14ac:dyDescent="0.2">
      <c r="I159" s="16"/>
      <c r="P159" s="16"/>
      <c r="V159" s="24"/>
      <c r="W159" s="28"/>
      <c r="X159" s="28"/>
      <c r="Y159" s="15"/>
      <c r="AD159" s="15"/>
      <c r="AE159" s="15"/>
      <c r="AL159" s="15"/>
      <c r="AQ159" s="15" t="str">
        <f ca="1">IFERROR(__xludf.DUMMYFUNCTION("IFNA(DATEDIF(AV167, MAX(FILTER(AY167:CN167 ,  AY167:CN167&lt;&gt;"""")), ""m""), """")"),"")</f>
        <v/>
      </c>
      <c r="AR159" s="29"/>
      <c r="AS159" s="29"/>
      <c r="AT159" s="29"/>
      <c r="AU159" s="29"/>
    </row>
    <row r="160" spans="9:47" ht="15.75" customHeight="1" x14ac:dyDescent="0.2">
      <c r="I160" s="16"/>
      <c r="P160" s="16"/>
      <c r="V160" s="24"/>
      <c r="W160" s="28"/>
      <c r="X160" s="28"/>
      <c r="Y160" s="15"/>
      <c r="AD160" s="15"/>
      <c r="AE160" s="15"/>
      <c r="AL160" s="15"/>
      <c r="AQ160" s="15" t="str">
        <f ca="1">IFERROR(__xludf.DUMMYFUNCTION("IFNA(DATEDIF(AV168, MAX(FILTER(AY168:CN168 ,  AY168:CN168&lt;&gt;"""")), ""m""), """")"),"")</f>
        <v/>
      </c>
      <c r="AR160" s="29"/>
      <c r="AS160" s="29"/>
      <c r="AT160" s="29"/>
      <c r="AU160" s="29"/>
    </row>
    <row r="161" spans="9:47" ht="15.75" customHeight="1" x14ac:dyDescent="0.2">
      <c r="I161" s="16"/>
      <c r="P161" s="16"/>
      <c r="V161" s="24"/>
      <c r="W161" s="28"/>
      <c r="X161" s="28"/>
      <c r="Y161" s="15"/>
      <c r="AD161" s="15"/>
      <c r="AE161" s="15"/>
      <c r="AL161" s="15"/>
      <c r="AQ161" s="15" t="str">
        <f ca="1">IFERROR(__xludf.DUMMYFUNCTION("IFNA(DATEDIF(AV169, MAX(FILTER(AY169:CN169 ,  AY169:CN169&lt;&gt;"""")), ""m""), """")"),"")</f>
        <v/>
      </c>
      <c r="AR161" s="29"/>
      <c r="AS161" s="29"/>
      <c r="AT161" s="29"/>
      <c r="AU161" s="29"/>
    </row>
    <row r="162" spans="9:47" ht="15.75" customHeight="1" x14ac:dyDescent="0.2">
      <c r="I162" s="16"/>
      <c r="P162" s="16"/>
      <c r="V162" s="24"/>
      <c r="W162" s="28"/>
      <c r="X162" s="28"/>
      <c r="Y162" s="15"/>
      <c r="AD162" s="15"/>
      <c r="AE162" s="15"/>
      <c r="AL162" s="15"/>
      <c r="AQ162" s="15" t="str">
        <f ca="1">IFERROR(__xludf.DUMMYFUNCTION("IFNA(DATEDIF(AV170, MAX(FILTER(AY170:CN170 ,  AY170:CN170&lt;&gt;"""")), ""m""), """")"),"")</f>
        <v/>
      </c>
      <c r="AR162" s="29"/>
      <c r="AS162" s="29"/>
      <c r="AT162" s="29"/>
      <c r="AU162" s="29"/>
    </row>
    <row r="163" spans="9:47" ht="15.75" customHeight="1" x14ac:dyDescent="0.2">
      <c r="I163" s="16"/>
      <c r="P163" s="16"/>
      <c r="V163" s="24"/>
      <c r="W163" s="28"/>
      <c r="X163" s="28"/>
      <c r="Y163" s="15"/>
      <c r="AD163" s="15"/>
      <c r="AE163" s="15"/>
      <c r="AL163" s="15"/>
      <c r="AQ163" s="15" t="str">
        <f ca="1">IFERROR(__xludf.DUMMYFUNCTION("IFNA(DATEDIF(AV171, MAX(FILTER(AY171:CN171 ,  AY171:CN171&lt;&gt;"""")), ""m""), """")"),"")</f>
        <v/>
      </c>
      <c r="AR163" s="29"/>
      <c r="AS163" s="29"/>
      <c r="AT163" s="29"/>
      <c r="AU163" s="29"/>
    </row>
    <row r="164" spans="9:47" ht="15.75" customHeight="1" x14ac:dyDescent="0.2">
      <c r="I164" s="16"/>
      <c r="P164" s="16"/>
      <c r="V164" s="24"/>
      <c r="W164" s="28"/>
      <c r="X164" s="28"/>
      <c r="Y164" s="15"/>
      <c r="AD164" s="15"/>
      <c r="AE164" s="15"/>
      <c r="AL164" s="15"/>
      <c r="AQ164" s="15" t="str">
        <f ca="1">IFERROR(__xludf.DUMMYFUNCTION("IFNA(DATEDIF(AV172, MAX(FILTER(AY172:CN172 ,  AY172:CN172&lt;&gt;"""")), ""m""), """")"),"")</f>
        <v/>
      </c>
      <c r="AR164" s="29"/>
      <c r="AS164" s="29"/>
      <c r="AT164" s="29"/>
      <c r="AU164" s="29"/>
    </row>
    <row r="165" spans="9:47" ht="15.75" customHeight="1" x14ac:dyDescent="0.2">
      <c r="I165" s="16"/>
      <c r="P165" s="16"/>
      <c r="V165" s="24"/>
      <c r="W165" s="28"/>
      <c r="X165" s="28"/>
      <c r="Y165" s="15"/>
      <c r="AD165" s="15"/>
      <c r="AE165" s="15"/>
      <c r="AL165" s="15"/>
      <c r="AQ165" s="15" t="str">
        <f ca="1">IFERROR(__xludf.DUMMYFUNCTION("IFNA(DATEDIF(AV173, MAX(FILTER(AY173:CN173 ,  AY173:CN173&lt;&gt;"""")), ""m""), """")"),"")</f>
        <v/>
      </c>
      <c r="AR165" s="29"/>
      <c r="AS165" s="29"/>
      <c r="AT165" s="29"/>
      <c r="AU165" s="29"/>
    </row>
    <row r="166" spans="9:47" ht="15.75" customHeight="1" x14ac:dyDescent="0.2">
      <c r="I166" s="16"/>
      <c r="P166" s="16"/>
      <c r="V166" s="24"/>
      <c r="W166" s="28"/>
      <c r="X166" s="28"/>
      <c r="Y166" s="15"/>
      <c r="AD166" s="15"/>
      <c r="AE166" s="15"/>
      <c r="AL166" s="15"/>
      <c r="AQ166" s="15" t="str">
        <f ca="1">IFERROR(__xludf.DUMMYFUNCTION("IFNA(DATEDIF(AV174, MAX(FILTER(AY174:CN174 ,  AY174:CN174&lt;&gt;"""")), ""m""), """")"),"")</f>
        <v/>
      </c>
      <c r="AR166" s="29"/>
      <c r="AS166" s="29"/>
      <c r="AT166" s="29"/>
      <c r="AU166" s="29"/>
    </row>
    <row r="167" spans="9:47" ht="15.75" customHeight="1" x14ac:dyDescent="0.2">
      <c r="I167" s="16"/>
      <c r="P167" s="16"/>
      <c r="V167" s="24"/>
      <c r="W167" s="28"/>
      <c r="X167" s="28"/>
      <c r="Y167" s="15"/>
      <c r="AD167" s="15"/>
      <c r="AE167" s="15"/>
      <c r="AL167" s="15"/>
      <c r="AQ167" s="15" t="str">
        <f ca="1">IFERROR(__xludf.DUMMYFUNCTION("IFNA(DATEDIF(AV175, MAX(FILTER(AY175:CN175 ,  AY175:CN175&lt;&gt;"""")), ""m""), """")"),"")</f>
        <v/>
      </c>
      <c r="AR167" s="29"/>
      <c r="AS167" s="29"/>
      <c r="AT167" s="29"/>
      <c r="AU167" s="29"/>
    </row>
    <row r="168" spans="9:47" ht="15.75" customHeight="1" x14ac:dyDescent="0.2">
      <c r="I168" s="16"/>
      <c r="P168" s="16"/>
      <c r="V168" s="24"/>
      <c r="W168" s="28"/>
      <c r="X168" s="28"/>
      <c r="Y168" s="15"/>
      <c r="AD168" s="15"/>
      <c r="AE168" s="15"/>
      <c r="AL168" s="15"/>
      <c r="AQ168" s="15" t="str">
        <f ca="1">IFERROR(__xludf.DUMMYFUNCTION("IFNA(DATEDIF(AV176, MAX(FILTER(AY176:CN176 ,  AY176:CN176&lt;&gt;"""")), ""m""), """")"),"")</f>
        <v/>
      </c>
      <c r="AR168" s="29"/>
      <c r="AS168" s="29"/>
      <c r="AT168" s="29"/>
      <c r="AU168" s="29"/>
    </row>
    <row r="169" spans="9:47" ht="15.75" customHeight="1" x14ac:dyDescent="0.2">
      <c r="I169" s="16"/>
      <c r="P169" s="16"/>
      <c r="V169" s="24"/>
      <c r="W169" s="28"/>
      <c r="X169" s="28"/>
      <c r="Y169" s="15"/>
      <c r="AD169" s="15"/>
      <c r="AE169" s="15"/>
      <c r="AL169" s="15"/>
      <c r="AQ169" s="15" t="str">
        <f ca="1">IFERROR(__xludf.DUMMYFUNCTION("IFNA(DATEDIF(AV177, MAX(FILTER(AY177:CN177 ,  AY177:CN177&lt;&gt;"""")), ""m""), """")"),"")</f>
        <v/>
      </c>
      <c r="AR169" s="29"/>
      <c r="AS169" s="29"/>
      <c r="AT169" s="29"/>
      <c r="AU169" s="29"/>
    </row>
    <row r="170" spans="9:47" ht="15.75" customHeight="1" x14ac:dyDescent="0.2">
      <c r="I170" s="16"/>
      <c r="P170" s="16"/>
      <c r="V170" s="24"/>
      <c r="W170" s="28"/>
      <c r="X170" s="28"/>
      <c r="Y170" s="15"/>
      <c r="AD170" s="15"/>
      <c r="AE170" s="15"/>
      <c r="AL170" s="15"/>
      <c r="AQ170" s="15" t="str">
        <f ca="1">IFERROR(__xludf.DUMMYFUNCTION("IFNA(DATEDIF(AV178, MAX(FILTER(AY178:CN178 ,  AY178:CN178&lt;&gt;"""")), ""m""), """")"),"")</f>
        <v/>
      </c>
      <c r="AR170" s="29"/>
      <c r="AS170" s="29"/>
      <c r="AT170" s="29"/>
      <c r="AU170" s="29"/>
    </row>
    <row r="171" spans="9:47" ht="15.75" customHeight="1" x14ac:dyDescent="0.2">
      <c r="I171" s="16"/>
      <c r="P171" s="16"/>
      <c r="V171" s="24"/>
      <c r="W171" s="28"/>
      <c r="X171" s="28"/>
      <c r="Y171" s="15"/>
      <c r="AD171" s="15"/>
      <c r="AE171" s="15"/>
      <c r="AL171" s="15"/>
      <c r="AQ171" s="15" t="str">
        <f ca="1">IFERROR(__xludf.DUMMYFUNCTION("IFNA(DATEDIF(AV179, MAX(FILTER(AY179:CN179 ,  AY179:CN179&lt;&gt;"""")), ""m""), """")"),"")</f>
        <v/>
      </c>
      <c r="AR171" s="29"/>
      <c r="AS171" s="29"/>
      <c r="AT171" s="29"/>
      <c r="AU171" s="29"/>
    </row>
    <row r="172" spans="9:47" ht="15.75" customHeight="1" x14ac:dyDescent="0.2">
      <c r="I172" s="16"/>
      <c r="P172" s="16"/>
      <c r="V172" s="24"/>
      <c r="W172" s="28"/>
      <c r="X172" s="28"/>
      <c r="Y172" s="15"/>
      <c r="AD172" s="15"/>
      <c r="AE172" s="15"/>
      <c r="AL172" s="15"/>
      <c r="AQ172" s="15" t="str">
        <f ca="1">IFERROR(__xludf.DUMMYFUNCTION("IFNA(DATEDIF(AV180, MAX(FILTER(AY180:CN180 ,  AY180:CN180&lt;&gt;"""")), ""m""), """")"),"")</f>
        <v/>
      </c>
      <c r="AR172" s="29"/>
      <c r="AS172" s="29"/>
      <c r="AT172" s="29"/>
      <c r="AU172" s="29"/>
    </row>
    <row r="173" spans="9:47" ht="15.75" customHeight="1" x14ac:dyDescent="0.2">
      <c r="I173" s="16"/>
      <c r="P173" s="16"/>
      <c r="V173" s="24"/>
      <c r="W173" s="28"/>
      <c r="X173" s="28"/>
      <c r="Y173" s="15"/>
      <c r="AD173" s="15"/>
      <c r="AE173" s="15"/>
      <c r="AL173" s="15"/>
      <c r="AQ173" s="15" t="str">
        <f ca="1">IFERROR(__xludf.DUMMYFUNCTION("IFNA(DATEDIF(AV181, MAX(FILTER(AY181:CN181 ,  AY181:CN181&lt;&gt;"""")), ""m""), """")"),"")</f>
        <v/>
      </c>
      <c r="AR173" s="29"/>
      <c r="AS173" s="29"/>
      <c r="AT173" s="29"/>
      <c r="AU173" s="29"/>
    </row>
    <row r="174" spans="9:47" ht="15.75" customHeight="1" x14ac:dyDescent="0.2">
      <c r="I174" s="16"/>
      <c r="P174" s="16"/>
      <c r="V174" s="24"/>
      <c r="W174" s="28"/>
      <c r="X174" s="28"/>
      <c r="Y174" s="15"/>
      <c r="AD174" s="15"/>
      <c r="AE174" s="15"/>
      <c r="AL174" s="15"/>
      <c r="AQ174" s="15" t="str">
        <f ca="1">IFERROR(__xludf.DUMMYFUNCTION("IFNA(DATEDIF(AV182, MAX(FILTER(AY182:CN182 ,  AY182:CN182&lt;&gt;"""")), ""m""), """")"),"")</f>
        <v/>
      </c>
      <c r="AR174" s="29"/>
      <c r="AS174" s="29"/>
      <c r="AT174" s="29"/>
      <c r="AU174" s="29"/>
    </row>
    <row r="175" spans="9:47" ht="15.75" customHeight="1" x14ac:dyDescent="0.2">
      <c r="I175" s="16"/>
      <c r="P175" s="16"/>
      <c r="V175" s="24"/>
      <c r="W175" s="28"/>
      <c r="X175" s="28"/>
      <c r="Y175" s="15"/>
      <c r="AD175" s="15"/>
      <c r="AE175" s="15"/>
      <c r="AL175" s="15"/>
      <c r="AQ175" s="15" t="str">
        <f ca="1">IFERROR(__xludf.DUMMYFUNCTION("IFNA(DATEDIF(AV183, MAX(FILTER(AY183:CN183 ,  AY183:CN183&lt;&gt;"""")), ""m""), """")"),"")</f>
        <v/>
      </c>
      <c r="AR175" s="29"/>
      <c r="AS175" s="29"/>
      <c r="AT175" s="29"/>
      <c r="AU175" s="29"/>
    </row>
    <row r="176" spans="9:47" ht="15.75" customHeight="1" x14ac:dyDescent="0.2">
      <c r="I176" s="16"/>
      <c r="P176" s="16"/>
      <c r="V176" s="24"/>
      <c r="W176" s="28"/>
      <c r="X176" s="28"/>
      <c r="Y176" s="15"/>
      <c r="AD176" s="15"/>
      <c r="AE176" s="15"/>
      <c r="AL176" s="15"/>
      <c r="AQ176" s="15" t="str">
        <f ca="1">IFERROR(__xludf.DUMMYFUNCTION("IFNA(DATEDIF(AV184, MAX(FILTER(AY184:CN184 ,  AY184:CN184&lt;&gt;"""")), ""m""), """")"),"")</f>
        <v/>
      </c>
      <c r="AR176" s="29"/>
      <c r="AS176" s="29"/>
      <c r="AT176" s="29"/>
      <c r="AU176" s="29"/>
    </row>
    <row r="177" spans="9:47" ht="15.75" customHeight="1" x14ac:dyDescent="0.2">
      <c r="I177" s="16"/>
      <c r="P177" s="16"/>
      <c r="V177" s="24"/>
      <c r="W177" s="28"/>
      <c r="X177" s="28"/>
      <c r="Y177" s="15"/>
      <c r="AD177" s="15"/>
      <c r="AE177" s="15"/>
      <c r="AL177" s="15"/>
      <c r="AQ177" s="15" t="str">
        <f ca="1">IFERROR(__xludf.DUMMYFUNCTION("IFNA(DATEDIF(AV185, MAX(FILTER(AY185:CN185 ,  AY185:CN185&lt;&gt;"""")), ""m""), """")"),"")</f>
        <v/>
      </c>
      <c r="AR177" s="29"/>
      <c r="AS177" s="29"/>
      <c r="AT177" s="29"/>
      <c r="AU177" s="29"/>
    </row>
    <row r="178" spans="9:47" ht="15.75" customHeight="1" x14ac:dyDescent="0.2">
      <c r="I178" s="16"/>
      <c r="P178" s="16"/>
      <c r="V178" s="24"/>
      <c r="W178" s="28"/>
      <c r="X178" s="28"/>
      <c r="Y178" s="15"/>
      <c r="AD178" s="15"/>
      <c r="AE178" s="15"/>
      <c r="AL178" s="15"/>
      <c r="AQ178" s="15" t="str">
        <f ca="1">IFERROR(__xludf.DUMMYFUNCTION("IFNA(DATEDIF(AV186, MAX(FILTER(AY186:CN186 ,  AY186:CN186&lt;&gt;"""")), ""m""), """")"),"")</f>
        <v/>
      </c>
      <c r="AR178" s="29"/>
      <c r="AS178" s="29"/>
      <c r="AT178" s="29"/>
      <c r="AU178" s="29"/>
    </row>
    <row r="179" spans="9:47" ht="15.75" customHeight="1" x14ac:dyDescent="0.2">
      <c r="I179" s="16"/>
      <c r="P179" s="16"/>
      <c r="V179" s="24"/>
      <c r="W179" s="28"/>
      <c r="X179" s="28"/>
      <c r="Y179" s="15"/>
      <c r="AD179" s="15"/>
      <c r="AE179" s="15"/>
      <c r="AL179" s="15"/>
      <c r="AQ179" s="15" t="str">
        <f ca="1">IFERROR(__xludf.DUMMYFUNCTION("IFNA(DATEDIF(AV187, MAX(FILTER(AY187:CN187 ,  AY187:CN187&lt;&gt;"""")), ""m""), """")"),"")</f>
        <v/>
      </c>
      <c r="AR179" s="29"/>
      <c r="AS179" s="29"/>
      <c r="AT179" s="29"/>
      <c r="AU179" s="29"/>
    </row>
    <row r="180" spans="9:47" ht="15.75" customHeight="1" x14ac:dyDescent="0.2">
      <c r="I180" s="16"/>
      <c r="P180" s="16"/>
      <c r="V180" s="24"/>
      <c r="W180" s="28"/>
      <c r="X180" s="28"/>
      <c r="Y180" s="15"/>
      <c r="AD180" s="15"/>
      <c r="AE180" s="15"/>
      <c r="AL180" s="15"/>
      <c r="AQ180" s="15" t="str">
        <f ca="1">IFERROR(__xludf.DUMMYFUNCTION("IFNA(DATEDIF(AV188, MAX(FILTER(AY188:CN188 ,  AY188:CN188&lt;&gt;"""")), ""m""), """")"),"")</f>
        <v/>
      </c>
      <c r="AR180" s="29"/>
      <c r="AS180" s="29"/>
      <c r="AT180" s="29"/>
      <c r="AU180" s="29"/>
    </row>
    <row r="181" spans="9:47" ht="15.75" customHeight="1" x14ac:dyDescent="0.2">
      <c r="I181" s="16"/>
      <c r="P181" s="16"/>
      <c r="V181" s="24"/>
      <c r="W181" s="28"/>
      <c r="X181" s="28"/>
      <c r="Y181" s="15"/>
      <c r="AD181" s="15"/>
      <c r="AE181" s="15"/>
      <c r="AL181" s="15"/>
      <c r="AQ181" s="15" t="str">
        <f ca="1">IFERROR(__xludf.DUMMYFUNCTION("IFNA(DATEDIF(AV189, MAX(FILTER(AY189:CN189 ,  AY189:CN189&lt;&gt;"""")), ""m""), """")"),"")</f>
        <v/>
      </c>
      <c r="AR181" s="29"/>
      <c r="AS181" s="29"/>
      <c r="AT181" s="29"/>
      <c r="AU181" s="29"/>
    </row>
    <row r="182" spans="9:47" ht="15.75" customHeight="1" x14ac:dyDescent="0.2">
      <c r="I182" s="16"/>
      <c r="P182" s="16"/>
      <c r="V182" s="24"/>
      <c r="W182" s="28"/>
      <c r="X182" s="28"/>
      <c r="Y182" s="15"/>
      <c r="AD182" s="15"/>
      <c r="AE182" s="15"/>
      <c r="AL182" s="15"/>
      <c r="AQ182" s="15" t="str">
        <f ca="1">IFERROR(__xludf.DUMMYFUNCTION("IFNA(DATEDIF(AV190, MAX(FILTER(AY190:CN190 ,  AY190:CN190&lt;&gt;"""")), ""m""), """")"),"")</f>
        <v/>
      </c>
      <c r="AR182" s="29"/>
      <c r="AS182" s="29"/>
      <c r="AT182" s="29"/>
      <c r="AU182" s="29"/>
    </row>
    <row r="183" spans="9:47" ht="15.75" customHeight="1" x14ac:dyDescent="0.2">
      <c r="I183" s="16"/>
      <c r="P183" s="16"/>
      <c r="V183" s="24"/>
      <c r="W183" s="28"/>
      <c r="X183" s="28"/>
      <c r="Y183" s="15"/>
      <c r="AD183" s="15"/>
      <c r="AE183" s="15"/>
      <c r="AL183" s="15"/>
      <c r="AQ183" s="15" t="str">
        <f ca="1">IFERROR(__xludf.DUMMYFUNCTION("IFNA(DATEDIF(AV191, MAX(FILTER(AY191:CN191 ,  AY191:CN191&lt;&gt;"""")), ""m""), """")"),"")</f>
        <v/>
      </c>
      <c r="AR183" s="29"/>
      <c r="AS183" s="29"/>
      <c r="AT183" s="29"/>
      <c r="AU183" s="29"/>
    </row>
    <row r="184" spans="9:47" ht="15.75" customHeight="1" x14ac:dyDescent="0.2">
      <c r="I184" s="16"/>
      <c r="P184" s="16"/>
      <c r="V184" s="24"/>
      <c r="W184" s="28"/>
      <c r="X184" s="28"/>
      <c r="Y184" s="15"/>
      <c r="AD184" s="15"/>
      <c r="AE184" s="15"/>
      <c r="AL184" s="15"/>
      <c r="AQ184" s="15" t="str">
        <f ca="1">IFERROR(__xludf.DUMMYFUNCTION("IFNA(DATEDIF(AV192, MAX(FILTER(AY192:CN192 ,  AY192:CN192&lt;&gt;"""")), ""m""), """")"),"")</f>
        <v/>
      </c>
      <c r="AR184" s="29"/>
      <c r="AS184" s="29"/>
      <c r="AT184" s="29"/>
      <c r="AU184" s="29"/>
    </row>
    <row r="185" spans="9:47" ht="15.75" customHeight="1" x14ac:dyDescent="0.2">
      <c r="I185" s="16"/>
      <c r="P185" s="16"/>
      <c r="V185" s="24"/>
      <c r="W185" s="28"/>
      <c r="X185" s="28"/>
      <c r="Y185" s="15"/>
      <c r="AD185" s="15"/>
      <c r="AE185" s="15"/>
      <c r="AL185" s="15"/>
      <c r="AR185" s="29"/>
      <c r="AS185" s="29"/>
      <c r="AT185" s="29"/>
      <c r="AU185" s="29"/>
    </row>
    <row r="186" spans="9:47" ht="15.75" customHeight="1" x14ac:dyDescent="0.2">
      <c r="I186" s="16"/>
      <c r="P186" s="16"/>
      <c r="V186" s="24"/>
      <c r="W186" s="28"/>
      <c r="X186" s="28"/>
      <c r="Y186" s="15"/>
      <c r="AD186" s="15"/>
      <c r="AE186" s="15"/>
      <c r="AL186" s="15"/>
      <c r="AR186" s="29"/>
      <c r="AS186" s="29"/>
      <c r="AT186" s="29"/>
      <c r="AU186" s="29"/>
    </row>
    <row r="187" spans="9:47" ht="15.75" customHeight="1" x14ac:dyDescent="0.2">
      <c r="I187" s="16"/>
      <c r="P187" s="16"/>
      <c r="V187" s="24"/>
      <c r="W187" s="28"/>
      <c r="X187" s="28"/>
      <c r="Y187" s="15"/>
      <c r="AD187" s="15"/>
      <c r="AE187" s="15"/>
      <c r="AL187" s="15"/>
      <c r="AR187" s="29"/>
      <c r="AS187" s="29"/>
      <c r="AT187" s="29"/>
      <c r="AU187" s="29"/>
    </row>
    <row r="188" spans="9:47" ht="15.75" customHeight="1" x14ac:dyDescent="0.2">
      <c r="I188" s="16"/>
      <c r="P188" s="16"/>
      <c r="V188" s="24"/>
      <c r="W188" s="28"/>
      <c r="X188" s="28"/>
      <c r="Y188" s="15"/>
      <c r="AD188" s="15"/>
      <c r="AE188" s="15"/>
      <c r="AL188" s="15"/>
      <c r="AR188" s="29"/>
      <c r="AS188" s="29"/>
      <c r="AT188" s="29"/>
      <c r="AU188" s="29"/>
    </row>
    <row r="189" spans="9:47" ht="15.75" customHeight="1" x14ac:dyDescent="0.2">
      <c r="I189" s="16"/>
      <c r="P189" s="16"/>
      <c r="V189" s="24"/>
      <c r="W189" s="28"/>
      <c r="X189" s="28"/>
      <c r="Y189" s="15"/>
      <c r="AD189" s="15"/>
      <c r="AE189" s="15"/>
      <c r="AL189" s="15"/>
      <c r="AR189" s="29"/>
      <c r="AS189" s="29"/>
      <c r="AT189" s="29"/>
      <c r="AU189" s="29"/>
    </row>
    <row r="190" spans="9:47" ht="15.75" customHeight="1" x14ac:dyDescent="0.2">
      <c r="I190" s="16"/>
      <c r="P190" s="16"/>
      <c r="V190" s="24"/>
      <c r="W190" s="28"/>
      <c r="X190" s="28"/>
      <c r="Y190" s="15"/>
      <c r="AD190" s="15"/>
      <c r="AE190" s="15"/>
      <c r="AL190" s="15"/>
      <c r="AR190" s="29"/>
      <c r="AS190" s="29"/>
      <c r="AT190" s="29"/>
      <c r="AU190" s="29"/>
    </row>
    <row r="191" spans="9:47" ht="15.75" customHeight="1" x14ac:dyDescent="0.2">
      <c r="I191" s="16"/>
      <c r="P191" s="16"/>
      <c r="V191" s="24"/>
      <c r="W191" s="28"/>
      <c r="X191" s="28"/>
      <c r="Y191" s="15"/>
      <c r="AD191" s="15"/>
      <c r="AE191" s="15"/>
      <c r="AL191" s="15"/>
      <c r="AR191" s="29"/>
      <c r="AS191" s="29"/>
      <c r="AT191" s="29"/>
      <c r="AU191" s="29"/>
    </row>
  </sheetData>
  <autoFilter ref="A1:AW92" xr:uid="{00000000-0009-0000-0000-000000000000}"/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Microsoft Office User</cp:lastModifiedBy>
  <dcterms:created xsi:type="dcterms:W3CDTF">2011-08-01T14:22:18Z</dcterms:created>
  <dcterms:modified xsi:type="dcterms:W3CDTF">2025-12-14T10:14:58Z</dcterms:modified>
</cp:coreProperties>
</file>