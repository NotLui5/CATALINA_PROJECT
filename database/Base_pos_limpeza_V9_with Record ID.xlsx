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apaolasolispazmino/Library/CloudStorage/GoogleDrive-paosolpaz18@gmail.com/Mi unidad/Research/PHD/Projeto/1. Base de datos/Brasil/"/>
    </mc:Choice>
  </mc:AlternateContent>
  <xr:revisionPtr revIDLastSave="0" documentId="13_ncr:1_{8F336DB0-90CD-8D41-8C56-00AB178B4AD6}" xr6:coauthVersionLast="37" xr6:coauthVersionMax="37" xr10:uidLastSave="{00000000-0000-0000-0000-000000000000}"/>
  <bookViews>
    <workbookView xWindow="0" yWindow="660" windowWidth="29400" windowHeight="18460" xr2:uid="{00000000-000D-0000-FFFF-FFFF00000000}"/>
  </bookViews>
  <sheets>
    <sheet name="Base_pos_limpeza_V6" sheetId="1" r:id="rId1"/>
  </sheets>
  <definedNames>
    <definedName name="_xlnm._FilterDatabase" localSheetId="0" hidden="1">Base_pos_limpeza_V6!$A$1:$AW$360</definedName>
  </definedNames>
  <calcPr calcId="179021"/>
</workbook>
</file>

<file path=xl/calcChain.xml><?xml version="1.0" encoding="utf-8"?>
<calcChain xmlns="http://schemas.openxmlformats.org/spreadsheetml/2006/main">
  <c r="AS135" i="1" l="1"/>
  <c r="AS305" i="1"/>
  <c r="AS205" i="1"/>
  <c r="AS332" i="1"/>
  <c r="AS5" i="1"/>
  <c r="AS316" i="1"/>
  <c r="AS49" i="1"/>
  <c r="AS59" i="1"/>
  <c r="AS198" i="1"/>
  <c r="AS148" i="1"/>
  <c r="AS196" i="1"/>
  <c r="AS54" i="1"/>
  <c r="AS199" i="1"/>
  <c r="AS102" i="1"/>
  <c r="AS176" i="1"/>
  <c r="AS296" i="1"/>
  <c r="AS227" i="1"/>
  <c r="AS40" i="1"/>
  <c r="AS228" i="1"/>
  <c r="AS27" i="1"/>
  <c r="AS272" i="1"/>
  <c r="AS273" i="1"/>
  <c r="AS182" i="1"/>
  <c r="AS261" i="1"/>
  <c r="AS284" i="1"/>
  <c r="AS278" i="1"/>
  <c r="AS281" i="1"/>
  <c r="AS70" i="1"/>
  <c r="AS104" i="1"/>
  <c r="AS51" i="1"/>
  <c r="AS173" i="1"/>
  <c r="AS16" i="1"/>
  <c r="AS295" i="1"/>
  <c r="AS253" i="1"/>
  <c r="AS212" i="1"/>
  <c r="AS146" i="1"/>
  <c r="AS17" i="1"/>
  <c r="AS121" i="1"/>
  <c r="AS93" i="1"/>
  <c r="AS201" i="1"/>
  <c r="AS106" i="1"/>
  <c r="AS259" i="1"/>
  <c r="AS171" i="1"/>
  <c r="AS138" i="1"/>
  <c r="AS33" i="1"/>
  <c r="AS7" i="1"/>
  <c r="AS271" i="1"/>
  <c r="AS154" i="1"/>
  <c r="AS150" i="1"/>
  <c r="AS177" i="1"/>
  <c r="AS322" i="1"/>
  <c r="AS69" i="1"/>
  <c r="AS76" i="1"/>
  <c r="AS207" i="1"/>
  <c r="AS242" i="1"/>
  <c r="AS263" i="1"/>
  <c r="AS19" i="1"/>
  <c r="AS237" i="1"/>
  <c r="AS186" i="1"/>
  <c r="AS103" i="1"/>
  <c r="AP81" i="1"/>
  <c r="AP246" i="1"/>
  <c r="AP23" i="1"/>
  <c r="AP240" i="1"/>
  <c r="AP105" i="1"/>
  <c r="AJ246" i="1"/>
  <c r="AJ109" i="1"/>
  <c r="AJ113" i="1"/>
  <c r="AJ105" i="1"/>
  <c r="AJ9" i="1"/>
  <c r="AJ127" i="1"/>
</calcChain>
</file>

<file path=xl/sharedStrings.xml><?xml version="1.0" encoding="utf-8"?>
<sst xmlns="http://schemas.openxmlformats.org/spreadsheetml/2006/main" count="786" uniqueCount="60">
  <si>
    <t>record_id</t>
  </si>
  <si>
    <t>SEX</t>
  </si>
  <si>
    <t>AGEATDIGNOSIS</t>
  </si>
  <si>
    <t>TYPEOFRESECTION</t>
  </si>
  <si>
    <t>PAPILLARYSUBTYPE</t>
  </si>
  <si>
    <t>FOLLICULARSUBTYPE</t>
  </si>
  <si>
    <t>EXTRATHYROIDALEXTENSION</t>
  </si>
  <si>
    <t>MULTICENTRIC</t>
  </si>
  <si>
    <t>MULTICENTER_BILATERAL</t>
  </si>
  <si>
    <t>VASCULARINVASION</t>
  </si>
  <si>
    <t>PERINEURALINVASION</t>
  </si>
  <si>
    <t>POSITIVELYMPHNODEN1</t>
  </si>
  <si>
    <t>NUMBEROFLYMPHNODEEXCISION</t>
  </si>
  <si>
    <t>NUMBEROFPOSITIVELYMPHNODEEXCISION</t>
  </si>
  <si>
    <t>EXTRANODALEXTENSION</t>
  </si>
  <si>
    <t>TNMT</t>
  </si>
  <si>
    <t>TNMN</t>
  </si>
  <si>
    <t>TNMM</t>
  </si>
  <si>
    <t>STAGE</t>
  </si>
  <si>
    <t>ATA_2015_RISCO_INICIAL</t>
  </si>
  <si>
    <t>ATA_2025_RISCO_INICIAL</t>
  </si>
  <si>
    <t>RAIDOSE</t>
  </si>
  <si>
    <t>OUTCOMEFOLLOWUP_MONTHSPOSTSURGERY</t>
  </si>
  <si>
    <t>ATA2015_ULTIMA_CONSULTA</t>
  </si>
  <si>
    <t>ATA2025LAST_ULTIMA_CONSULTA</t>
  </si>
  <si>
    <t>Female</t>
  </si>
  <si>
    <t>R0</t>
  </si>
  <si>
    <t>Male</t>
  </si>
  <si>
    <t>R1</t>
  </si>
  <si>
    <t>R2</t>
  </si>
  <si>
    <t>&gt;150</t>
  </si>
  <si>
    <t>&lt;0.01</t>
  </si>
  <si>
    <t>&lt;0.05</t>
  </si>
  <si>
    <t>&lt;0.04</t>
  </si>
  <si>
    <t>&lt;0.02</t>
  </si>
  <si>
    <t>RADIOTHERAPY EXPOSURE</t>
  </si>
  <si>
    <t>FAMILY HISTORY OF THYROID CANCER</t>
  </si>
  <si>
    <t>THYROID DISEASE PREOP</t>
  </si>
  <si>
    <t>BMI</t>
  </si>
  <si>
    <t>LN RATIO</t>
  </si>
  <si>
    <t>HASHIMOTO THYROIDITIS</t>
  </si>
  <si>
    <t>MUTATION</t>
  </si>
  <si>
    <t xml:space="preserve">TSH POST OP </t>
  </si>
  <si>
    <t>TG POST OP</t>
  </si>
  <si>
    <t>ANTI TG POST OP (POSITIVE or NEGATIVE)</t>
  </si>
  <si>
    <t>TSH PRE RAI</t>
  </si>
  <si>
    <t>TG PRE RAI</t>
  </si>
  <si>
    <t>ANTI TG PRE RAI (POSITIVE or NEGATIVE)</t>
  </si>
  <si>
    <t xml:space="preserve">ANTI TG PRE RAI </t>
  </si>
  <si>
    <t>TSH FOLLOW UP</t>
  </si>
  <si>
    <t>TG FOLLOW UP</t>
  </si>
  <si>
    <t>ANTI TG FOLLOW UP</t>
  </si>
  <si>
    <t>ANTI TG FOLLOW UP (POSITIVE or NEGATIVE)</t>
  </si>
  <si>
    <t xml:space="preserve"> </t>
  </si>
  <si>
    <t>THYROIDECTOMY APPROACH</t>
  </si>
  <si>
    <t>HISTOLOGY</t>
  </si>
  <si>
    <t>TUMORSIZE (cm)</t>
  </si>
  <si>
    <t>SIZEOFPOSITIVELYMPHNODE(cm)</t>
  </si>
  <si>
    <t>ANTI TG POST OP VALUE</t>
  </si>
  <si>
    <t>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</si>
</sst>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 applyFill="1"/>
    <xf numFmtId="2" fontId="1" fillId="0" borderId="0" xfId="0" applyNumberFormat="1" applyFont="1" applyFill="1"/>
    <xf numFmtId="1" fontId="1" fillId="0" borderId="0" xfId="0" applyNumberFormat="1" applyFont="1" applyBorder="1"/>
    <xf numFmtId="2" fontId="1" fillId="0" borderId="0" xfId="0" applyNumberFormat="1" applyFont="1" applyBorder="1"/>
    <xf numFmtId="10" fontId="1" fillId="0" borderId="0" xfId="0" applyNumberFormat="1" applyFont="1"/>
    <xf numFmtId="0" fontId="0" fillId="0" borderId="0" xfId="0" applyFont="1" applyAlignment="1"/>
    <xf numFmtId="2" fontId="0" fillId="0" borderId="0" xfId="0" applyNumberFormat="1" applyFont="1" applyAlignment="1"/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vertical="top" wrapText="1"/>
    </xf>
    <xf numFmtId="10" fontId="1" fillId="0" borderId="0" xfId="0" applyNumberFormat="1" applyFont="1" applyFill="1"/>
    <xf numFmtId="10" fontId="1" fillId="0" borderId="0" xfId="0" applyNumberFormat="1" applyFont="1" applyFill="1" applyBorder="1"/>
    <xf numFmtId="0" fontId="0" fillId="0" borderId="0" xfId="0" applyFont="1" applyFill="1" applyAlignment="1"/>
    <xf numFmtId="2" fontId="0" fillId="0" borderId="0" xfId="0" applyNumberFormat="1" applyFont="1" applyFill="1" applyAlignment="1"/>
    <xf numFmtId="2" fontId="1" fillId="0" borderId="0" xfId="0" applyNumberFormat="1" applyFont="1" applyFill="1" applyBorder="1"/>
    <xf numFmtId="2" fontId="1" fillId="3" borderId="0" xfId="0" applyNumberFormat="1" applyFont="1" applyFill="1" applyBorder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2" fontId="0" fillId="0" borderId="0" xfId="0" applyNumberFormat="1" applyFont="1" applyBorder="1" applyAlignment="1"/>
    <xf numFmtId="2" fontId="0" fillId="0" borderId="0" xfId="0" applyNumberFormat="1" applyFont="1" applyFill="1" applyBorder="1" applyAlignment="1"/>
    <xf numFmtId="2" fontId="1" fillId="4" borderId="0" xfId="0" applyNumberFormat="1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1" fontId="1" fillId="0" borderId="0" xfId="0" applyNumberFormat="1" applyFont="1" applyFill="1" applyAlignment="1">
      <alignment horizontal="center"/>
    </xf>
    <xf numFmtId="10" fontId="1" fillId="0" borderId="0" xfId="0" applyNumberFormat="1" applyFont="1" applyFill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0" fillId="0" borderId="0" xfId="0" applyFill="1" applyAlignment="1">
      <alignment vertical="top" wrapText="1"/>
    </xf>
    <xf numFmtId="2" fontId="1" fillId="0" borderId="0" xfId="0" applyNumberFormat="1" applyFont="1" applyFill="1" applyBorder="1" applyAlignment="1">
      <alignment vertical="top" wrapText="1"/>
    </xf>
    <xf numFmtId="2" fontId="1" fillId="0" borderId="0" xfId="0" applyNumberFormat="1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60"/>
  <sheetViews>
    <sheetView tabSelected="1" topLeftCell="K1" workbookViewId="0">
      <pane ySplit="1" topLeftCell="A2" activePane="bottomLeft" state="frozen"/>
      <selection pane="bottomLeft" activeCell="AB1" sqref="AB1:AB1048576"/>
    </sheetView>
  </sheetViews>
  <sheetFormatPr baseColWidth="10" defaultColWidth="8.83203125" defaultRowHeight="15" x14ac:dyDescent="0.2"/>
  <cols>
    <col min="4" max="5" width="8.6640625" style="11" customWidth="1"/>
    <col min="6" max="7" width="8.6640625" style="12" customWidth="1"/>
    <col min="22" max="22" width="9.1640625" style="12" customWidth="1"/>
    <col min="25" max="25" width="8.6640625" style="11" customWidth="1"/>
    <col min="27" max="27" width="9" customWidth="1"/>
    <col min="30" max="30" width="8.6640625" style="21" customWidth="1"/>
    <col min="33" max="34" width="8.6640625" style="12" customWidth="1"/>
    <col min="35" max="35" width="8.6640625" style="11" customWidth="1"/>
    <col min="36" max="36" width="11.33203125" style="12" customWidth="1"/>
    <col min="40" max="40" width="12.33203125" style="11" customWidth="1"/>
    <col min="41" max="41" width="9.1640625" style="11" customWidth="1"/>
    <col min="42" max="42" width="10.83203125" style="11" customWidth="1"/>
    <col min="44" max="44" width="9.1640625" style="11" customWidth="1"/>
    <col min="45" max="45" width="18.5" style="11" customWidth="1"/>
    <col min="46" max="46" width="9.1640625" style="12" customWidth="1"/>
    <col min="47" max="47" width="15.1640625" style="11" customWidth="1"/>
  </cols>
  <sheetData>
    <row r="1" spans="1:49" s="43" customFormat="1" ht="96" x14ac:dyDescent="0.2">
      <c r="A1" s="43" t="s">
        <v>0</v>
      </c>
      <c r="B1" s="43" t="s">
        <v>1</v>
      </c>
      <c r="C1" s="43" t="s">
        <v>2</v>
      </c>
      <c r="D1" s="18" t="s">
        <v>35</v>
      </c>
      <c r="E1" s="18" t="s">
        <v>36</v>
      </c>
      <c r="F1" s="44" t="s">
        <v>37</v>
      </c>
      <c r="G1" s="44" t="s">
        <v>38</v>
      </c>
      <c r="H1" s="43" t="s">
        <v>54</v>
      </c>
      <c r="I1" s="43" t="s">
        <v>3</v>
      </c>
      <c r="J1" s="43" t="s">
        <v>55</v>
      </c>
      <c r="K1" s="43" t="s">
        <v>4</v>
      </c>
      <c r="L1" s="43" t="s">
        <v>5</v>
      </c>
      <c r="M1" s="43" t="s">
        <v>56</v>
      </c>
      <c r="N1" s="43" t="s">
        <v>6</v>
      </c>
      <c r="O1" s="43" t="s">
        <v>7</v>
      </c>
      <c r="P1" s="43" t="s">
        <v>8</v>
      </c>
      <c r="Q1" s="43" t="s">
        <v>9</v>
      </c>
      <c r="R1" s="43" t="s">
        <v>10</v>
      </c>
      <c r="S1" s="43" t="s">
        <v>11</v>
      </c>
      <c r="T1" s="43" t="s">
        <v>12</v>
      </c>
      <c r="U1" s="43" t="s">
        <v>13</v>
      </c>
      <c r="V1" s="45" t="s">
        <v>39</v>
      </c>
      <c r="W1" s="43" t="s">
        <v>57</v>
      </c>
      <c r="X1" s="43" t="s">
        <v>14</v>
      </c>
      <c r="Y1" s="18" t="s">
        <v>40</v>
      </c>
      <c r="Z1" s="43" t="s">
        <v>15</v>
      </c>
      <c r="AA1" s="43" t="s">
        <v>16</v>
      </c>
      <c r="AB1" s="43" t="s">
        <v>17</v>
      </c>
      <c r="AC1" s="43" t="s">
        <v>18</v>
      </c>
      <c r="AD1" s="18" t="s">
        <v>41</v>
      </c>
      <c r="AE1" s="43" t="s">
        <v>19</v>
      </c>
      <c r="AF1" s="43" t="s">
        <v>20</v>
      </c>
      <c r="AG1" s="44" t="s">
        <v>42</v>
      </c>
      <c r="AH1" s="44" t="s">
        <v>43</v>
      </c>
      <c r="AI1" s="18" t="s">
        <v>44</v>
      </c>
      <c r="AJ1" s="44" t="s">
        <v>58</v>
      </c>
      <c r="AK1" s="43" t="s">
        <v>59</v>
      </c>
      <c r="AL1" s="43" t="s">
        <v>21</v>
      </c>
      <c r="AM1" s="46" t="s">
        <v>45</v>
      </c>
      <c r="AN1" s="47" t="s">
        <v>46</v>
      </c>
      <c r="AO1" s="47" t="s">
        <v>47</v>
      </c>
      <c r="AP1" s="47" t="s">
        <v>48</v>
      </c>
      <c r="AQ1" s="43" t="s">
        <v>22</v>
      </c>
      <c r="AR1" s="47" t="s">
        <v>49</v>
      </c>
      <c r="AS1" s="47" t="s">
        <v>50</v>
      </c>
      <c r="AT1" s="45" t="s">
        <v>52</v>
      </c>
      <c r="AU1" s="47" t="s">
        <v>51</v>
      </c>
      <c r="AV1" s="43" t="s">
        <v>23</v>
      </c>
      <c r="AW1" s="43" t="s">
        <v>24</v>
      </c>
    </row>
    <row r="2" spans="1:49" x14ac:dyDescent="0.2">
      <c r="A2" s="3">
        <v>299</v>
      </c>
      <c r="B2" t="s">
        <v>25</v>
      </c>
      <c r="C2" s="2">
        <v>59.4</v>
      </c>
      <c r="D2" s="4">
        <v>2</v>
      </c>
      <c r="E2" s="4">
        <v>2</v>
      </c>
      <c r="F2" s="5"/>
      <c r="G2" s="5"/>
      <c r="H2">
        <v>1</v>
      </c>
      <c r="I2" t="s">
        <v>26</v>
      </c>
      <c r="J2" s="2">
        <v>2</v>
      </c>
      <c r="L2">
        <v>1</v>
      </c>
      <c r="M2" s="2">
        <v>3</v>
      </c>
      <c r="N2">
        <v>1</v>
      </c>
      <c r="O2">
        <v>2</v>
      </c>
      <c r="P2">
        <v>2</v>
      </c>
      <c r="Q2">
        <v>2</v>
      </c>
      <c r="R2">
        <v>2</v>
      </c>
      <c r="S2">
        <v>2</v>
      </c>
      <c r="T2" s="1"/>
      <c r="U2" s="1"/>
      <c r="V2" s="13"/>
      <c r="W2" s="1"/>
      <c r="Y2" s="4">
        <v>1</v>
      </c>
      <c r="Z2">
        <v>2</v>
      </c>
      <c r="AA2">
        <v>0</v>
      </c>
      <c r="AB2">
        <v>1</v>
      </c>
      <c r="AC2" s="2">
        <v>1</v>
      </c>
      <c r="AD2" s="19"/>
      <c r="AE2" s="2">
        <v>1</v>
      </c>
      <c r="AF2" s="2">
        <v>1</v>
      </c>
      <c r="AG2" s="13">
        <v>1.1100000000000001</v>
      </c>
      <c r="AH2" s="13">
        <v>0.01</v>
      </c>
      <c r="AI2" s="4">
        <v>1</v>
      </c>
      <c r="AJ2" s="24">
        <v>10</v>
      </c>
      <c r="AK2" s="2">
        <v>1</v>
      </c>
      <c r="AL2" s="3">
        <v>150</v>
      </c>
      <c r="AM2" s="26">
        <v>58</v>
      </c>
      <c r="AN2" s="29"/>
      <c r="AO2" s="39"/>
      <c r="AP2" s="28"/>
      <c r="AQ2" s="2">
        <v>99.7</v>
      </c>
      <c r="AR2" s="29">
        <v>2.02</v>
      </c>
      <c r="AS2" s="34">
        <v>0.1</v>
      </c>
      <c r="AT2" s="13">
        <v>1</v>
      </c>
      <c r="AU2" s="29">
        <v>20</v>
      </c>
      <c r="AV2" s="2">
        <v>1</v>
      </c>
      <c r="AW2" s="2">
        <v>1</v>
      </c>
    </row>
    <row r="3" spans="1:49" x14ac:dyDescent="0.2">
      <c r="A3" s="3">
        <v>92</v>
      </c>
      <c r="B3" t="s">
        <v>25</v>
      </c>
      <c r="C3" s="2">
        <v>30.3</v>
      </c>
      <c r="D3" s="4">
        <v>2</v>
      </c>
      <c r="E3" s="4">
        <v>2</v>
      </c>
      <c r="F3" s="5">
        <v>1</v>
      </c>
      <c r="G3" s="5">
        <v>25.4</v>
      </c>
      <c r="H3">
        <v>2</v>
      </c>
      <c r="I3" t="s">
        <v>26</v>
      </c>
      <c r="J3" s="2">
        <v>1</v>
      </c>
      <c r="K3">
        <v>1</v>
      </c>
      <c r="M3" s="2">
        <v>1.5</v>
      </c>
      <c r="N3">
        <v>1</v>
      </c>
      <c r="O3">
        <v>1</v>
      </c>
      <c r="P3">
        <v>1</v>
      </c>
      <c r="Q3">
        <v>1</v>
      </c>
      <c r="R3">
        <v>2</v>
      </c>
      <c r="S3">
        <v>1</v>
      </c>
      <c r="T3" s="3">
        <v>23</v>
      </c>
      <c r="U3" s="3">
        <v>10</v>
      </c>
      <c r="V3" s="13">
        <v>43.48</v>
      </c>
      <c r="W3" s="2">
        <v>3</v>
      </c>
      <c r="X3">
        <v>2</v>
      </c>
      <c r="Y3" s="4">
        <v>2</v>
      </c>
      <c r="Z3">
        <v>1</v>
      </c>
      <c r="AA3">
        <v>2</v>
      </c>
      <c r="AB3">
        <v>1</v>
      </c>
      <c r="AC3" s="2">
        <v>1</v>
      </c>
      <c r="AD3" s="19"/>
      <c r="AE3" s="2">
        <v>3</v>
      </c>
      <c r="AF3" s="2">
        <v>4</v>
      </c>
      <c r="AG3" s="13">
        <v>0.36</v>
      </c>
      <c r="AH3" s="24">
        <v>0.1</v>
      </c>
      <c r="AI3" s="4">
        <v>1</v>
      </c>
      <c r="AJ3" s="24">
        <v>10</v>
      </c>
      <c r="AK3" s="2">
        <v>1</v>
      </c>
      <c r="AL3" s="3">
        <v>150</v>
      </c>
      <c r="AM3" s="26">
        <v>90.16</v>
      </c>
      <c r="AN3" s="29">
        <v>2.1</v>
      </c>
      <c r="AO3" s="38">
        <v>1</v>
      </c>
      <c r="AP3" s="34">
        <v>10</v>
      </c>
      <c r="AQ3" s="2">
        <v>96.9</v>
      </c>
      <c r="AR3" s="29">
        <v>0.71</v>
      </c>
      <c r="AS3" s="34">
        <v>0.05</v>
      </c>
      <c r="AT3" s="13">
        <v>1</v>
      </c>
      <c r="AU3" s="29">
        <v>1.3</v>
      </c>
      <c r="AV3" s="2">
        <v>1</v>
      </c>
      <c r="AW3" s="2">
        <v>1</v>
      </c>
    </row>
    <row r="4" spans="1:49" x14ac:dyDescent="0.2">
      <c r="A4" s="3">
        <v>191</v>
      </c>
      <c r="B4" t="s">
        <v>27</v>
      </c>
      <c r="C4" s="2">
        <v>47</v>
      </c>
      <c r="D4" s="4">
        <v>2</v>
      </c>
      <c r="E4" s="4">
        <v>2</v>
      </c>
      <c r="F4" s="5">
        <v>1</v>
      </c>
      <c r="G4" s="5">
        <v>35</v>
      </c>
      <c r="H4">
        <v>1</v>
      </c>
      <c r="I4" t="s">
        <v>28</v>
      </c>
      <c r="J4" s="2">
        <v>1</v>
      </c>
      <c r="K4">
        <v>1</v>
      </c>
      <c r="M4" s="2">
        <v>0.8</v>
      </c>
      <c r="N4">
        <v>1</v>
      </c>
      <c r="O4">
        <v>2</v>
      </c>
      <c r="P4">
        <v>2</v>
      </c>
      <c r="Q4">
        <v>2</v>
      </c>
      <c r="R4">
        <v>2</v>
      </c>
      <c r="S4">
        <v>2</v>
      </c>
      <c r="T4" s="1"/>
      <c r="U4" s="1"/>
      <c r="V4" s="13"/>
      <c r="W4" s="1"/>
      <c r="Y4" s="4">
        <v>2</v>
      </c>
      <c r="Z4">
        <v>1</v>
      </c>
      <c r="AA4">
        <v>3</v>
      </c>
      <c r="AB4">
        <v>1</v>
      </c>
      <c r="AC4" s="2">
        <v>1</v>
      </c>
      <c r="AD4" s="19"/>
      <c r="AE4" s="2">
        <v>1</v>
      </c>
      <c r="AF4" s="2">
        <v>1</v>
      </c>
      <c r="AG4" s="13">
        <v>0.01</v>
      </c>
      <c r="AH4" s="24">
        <v>0.05</v>
      </c>
      <c r="AI4" s="4">
        <v>1</v>
      </c>
      <c r="AJ4" s="24">
        <v>10</v>
      </c>
      <c r="AK4" s="2">
        <v>0</v>
      </c>
      <c r="AL4" s="1"/>
      <c r="AM4" s="26"/>
      <c r="AN4" s="29"/>
      <c r="AO4" s="39"/>
      <c r="AP4" s="28"/>
      <c r="AQ4" s="2">
        <v>14.4</v>
      </c>
      <c r="AR4" s="29">
        <v>0.14000000000000001</v>
      </c>
      <c r="AS4" s="30">
        <v>0.05</v>
      </c>
      <c r="AT4" s="13">
        <v>1</v>
      </c>
      <c r="AU4" s="29">
        <v>20</v>
      </c>
      <c r="AV4" s="2">
        <v>1</v>
      </c>
      <c r="AW4" s="2">
        <v>1</v>
      </c>
    </row>
    <row r="5" spans="1:49" x14ac:dyDescent="0.2">
      <c r="A5" s="3">
        <v>412</v>
      </c>
      <c r="B5" t="s">
        <v>25</v>
      </c>
      <c r="C5" s="2">
        <v>63.1</v>
      </c>
      <c r="D5" s="4">
        <v>2</v>
      </c>
      <c r="E5" s="4">
        <v>2</v>
      </c>
      <c r="F5" s="5">
        <v>1</v>
      </c>
      <c r="G5" s="5">
        <v>28.3</v>
      </c>
      <c r="H5">
        <v>1</v>
      </c>
      <c r="I5" t="s">
        <v>26</v>
      </c>
      <c r="J5" s="2">
        <v>1</v>
      </c>
      <c r="K5">
        <v>1</v>
      </c>
      <c r="M5" s="2">
        <v>0.8</v>
      </c>
      <c r="N5">
        <v>1</v>
      </c>
      <c r="O5">
        <v>1</v>
      </c>
      <c r="P5">
        <v>1</v>
      </c>
      <c r="Q5">
        <v>2</v>
      </c>
      <c r="R5">
        <v>2</v>
      </c>
      <c r="T5" s="1"/>
      <c r="U5" s="1"/>
      <c r="V5" s="13"/>
      <c r="W5" s="1"/>
      <c r="Y5" s="4">
        <v>2</v>
      </c>
      <c r="Z5">
        <v>1</v>
      </c>
      <c r="AA5">
        <v>3</v>
      </c>
      <c r="AB5">
        <v>1</v>
      </c>
      <c r="AC5" s="2">
        <v>1</v>
      </c>
      <c r="AD5" s="19"/>
      <c r="AE5" s="2">
        <v>1</v>
      </c>
      <c r="AF5" s="2">
        <v>3</v>
      </c>
      <c r="AG5" s="13">
        <v>0.02</v>
      </c>
      <c r="AH5" s="24">
        <v>0.05</v>
      </c>
      <c r="AI5" s="4">
        <v>2</v>
      </c>
      <c r="AJ5" s="15">
        <v>30.1</v>
      </c>
      <c r="AK5" s="2">
        <v>0</v>
      </c>
      <c r="AL5" s="1"/>
      <c r="AM5" s="26"/>
      <c r="AN5" s="29"/>
      <c r="AO5" s="39"/>
      <c r="AP5" s="28"/>
      <c r="AQ5" s="2">
        <v>6.5</v>
      </c>
      <c r="AR5" s="29">
        <v>0.02</v>
      </c>
      <c r="AS5" s="34">
        <f>0.1/2</f>
        <v>0.05</v>
      </c>
      <c r="AT5" s="13">
        <v>2</v>
      </c>
      <c r="AU5" s="29">
        <v>30.1</v>
      </c>
      <c r="AV5" s="2">
        <v>2</v>
      </c>
      <c r="AW5" s="2">
        <v>2</v>
      </c>
    </row>
    <row r="6" spans="1:49" x14ac:dyDescent="0.2">
      <c r="A6" s="3">
        <v>99</v>
      </c>
      <c r="B6" t="s">
        <v>25</v>
      </c>
      <c r="C6" s="2">
        <v>69.599999999999994</v>
      </c>
      <c r="D6" s="4">
        <v>2</v>
      </c>
      <c r="E6" s="4">
        <v>2</v>
      </c>
      <c r="F6" s="5">
        <v>1</v>
      </c>
      <c r="G6" s="5">
        <v>25</v>
      </c>
      <c r="H6">
        <v>1</v>
      </c>
      <c r="I6" t="s">
        <v>26</v>
      </c>
      <c r="J6" s="2">
        <v>1</v>
      </c>
      <c r="K6">
        <v>1</v>
      </c>
      <c r="M6" s="2">
        <v>0.8</v>
      </c>
      <c r="N6">
        <v>1</v>
      </c>
      <c r="O6">
        <v>2</v>
      </c>
      <c r="P6">
        <v>2</v>
      </c>
      <c r="Q6">
        <v>2</v>
      </c>
      <c r="R6">
        <v>2</v>
      </c>
      <c r="T6" s="1"/>
      <c r="U6" s="1"/>
      <c r="V6" s="13"/>
      <c r="W6" s="1"/>
      <c r="Y6" s="4">
        <v>1</v>
      </c>
      <c r="Z6">
        <v>1</v>
      </c>
      <c r="AA6">
        <v>3</v>
      </c>
      <c r="AB6">
        <v>1</v>
      </c>
      <c r="AC6" s="2">
        <v>1</v>
      </c>
      <c r="AD6" s="6">
        <v>0</v>
      </c>
      <c r="AE6" s="2">
        <v>1</v>
      </c>
      <c r="AF6" s="2">
        <v>1</v>
      </c>
      <c r="AG6" s="13">
        <v>0.56000000000000005</v>
      </c>
      <c r="AH6" s="24">
        <v>0.05</v>
      </c>
      <c r="AI6" s="4">
        <v>2</v>
      </c>
      <c r="AJ6" s="15">
        <v>87.9</v>
      </c>
      <c r="AK6" s="2">
        <v>0</v>
      </c>
      <c r="AL6" s="1"/>
      <c r="AM6" s="26"/>
      <c r="AN6" s="29"/>
      <c r="AO6" s="39"/>
      <c r="AP6" s="28"/>
      <c r="AQ6" s="2">
        <v>48</v>
      </c>
      <c r="AR6" s="29">
        <v>0.62</v>
      </c>
      <c r="AS6" s="34">
        <v>0.05</v>
      </c>
      <c r="AT6" s="13">
        <v>2</v>
      </c>
      <c r="AU6" s="29">
        <v>70</v>
      </c>
      <c r="AV6" s="2">
        <v>2</v>
      </c>
      <c r="AW6" s="2">
        <v>2</v>
      </c>
    </row>
    <row r="7" spans="1:49" x14ac:dyDescent="0.2">
      <c r="A7" s="3">
        <v>106</v>
      </c>
      <c r="B7" t="s">
        <v>25</v>
      </c>
      <c r="C7" s="2">
        <v>65.400000000000006</v>
      </c>
      <c r="D7" s="4">
        <v>2</v>
      </c>
      <c r="E7" s="4">
        <v>2</v>
      </c>
      <c r="F7" s="5">
        <v>2</v>
      </c>
      <c r="G7" s="5">
        <v>30.7</v>
      </c>
      <c r="H7">
        <v>1</v>
      </c>
      <c r="I7" t="s">
        <v>26</v>
      </c>
      <c r="J7" s="2">
        <v>1</v>
      </c>
      <c r="K7">
        <v>3</v>
      </c>
      <c r="M7" s="2">
        <v>1.5</v>
      </c>
      <c r="N7">
        <v>1</v>
      </c>
      <c r="O7">
        <v>1</v>
      </c>
      <c r="P7">
        <v>1</v>
      </c>
      <c r="Q7">
        <v>1</v>
      </c>
      <c r="R7">
        <v>2</v>
      </c>
      <c r="T7" s="1"/>
      <c r="U7" s="1"/>
      <c r="V7" s="13"/>
      <c r="W7" s="1"/>
      <c r="Y7" s="4">
        <v>1</v>
      </c>
      <c r="Z7">
        <v>1</v>
      </c>
      <c r="AA7">
        <v>3</v>
      </c>
      <c r="AB7">
        <v>1</v>
      </c>
      <c r="AC7" s="2">
        <v>1</v>
      </c>
      <c r="AD7" s="19"/>
      <c r="AE7" s="2">
        <v>2</v>
      </c>
      <c r="AF7" s="2">
        <v>3</v>
      </c>
      <c r="AG7" s="13">
        <v>0.13</v>
      </c>
      <c r="AH7" s="24">
        <v>0.05</v>
      </c>
      <c r="AI7" s="4">
        <v>1</v>
      </c>
      <c r="AJ7" s="25">
        <v>115</v>
      </c>
      <c r="AK7" s="2">
        <v>1</v>
      </c>
      <c r="AL7" s="3">
        <v>30</v>
      </c>
      <c r="AM7" s="26">
        <v>190</v>
      </c>
      <c r="AN7" s="34">
        <v>0.05</v>
      </c>
      <c r="AO7" s="38">
        <v>1</v>
      </c>
      <c r="AP7" s="33">
        <v>115</v>
      </c>
      <c r="AQ7" s="2">
        <v>29.5</v>
      </c>
      <c r="AR7" s="29">
        <v>1</v>
      </c>
      <c r="AS7" s="34">
        <f>0.1/2</f>
        <v>0.05</v>
      </c>
      <c r="AT7" s="13">
        <v>1</v>
      </c>
      <c r="AU7" s="29">
        <v>115</v>
      </c>
      <c r="AV7" s="2">
        <v>1</v>
      </c>
      <c r="AW7" s="2">
        <v>1</v>
      </c>
    </row>
    <row r="8" spans="1:49" x14ac:dyDescent="0.2">
      <c r="A8" s="3">
        <v>43</v>
      </c>
      <c r="B8" t="s">
        <v>25</v>
      </c>
      <c r="C8" s="2">
        <v>66.900000000000006</v>
      </c>
      <c r="D8" s="4">
        <v>2</v>
      </c>
      <c r="E8" s="4">
        <v>2</v>
      </c>
      <c r="F8" s="5">
        <v>1</v>
      </c>
      <c r="G8" s="5">
        <v>24</v>
      </c>
      <c r="H8">
        <v>1</v>
      </c>
      <c r="I8" t="s">
        <v>26</v>
      </c>
      <c r="J8" s="2">
        <v>1</v>
      </c>
      <c r="M8" s="2">
        <v>0.4</v>
      </c>
      <c r="N8">
        <v>1</v>
      </c>
      <c r="O8">
        <v>2</v>
      </c>
      <c r="P8">
        <v>2</v>
      </c>
      <c r="Q8">
        <v>2</v>
      </c>
      <c r="R8">
        <v>2</v>
      </c>
      <c r="T8" s="1"/>
      <c r="U8" s="1"/>
      <c r="V8" s="13"/>
      <c r="W8" s="1"/>
      <c r="Y8" s="4">
        <v>2</v>
      </c>
      <c r="Z8">
        <v>1</v>
      </c>
      <c r="AA8">
        <v>0</v>
      </c>
      <c r="AB8">
        <v>1</v>
      </c>
      <c r="AC8" s="2">
        <v>1</v>
      </c>
      <c r="AD8" s="19"/>
      <c r="AE8" s="2">
        <v>1</v>
      </c>
      <c r="AF8" s="2">
        <v>1</v>
      </c>
      <c r="AG8" s="13">
        <v>5.5</v>
      </c>
      <c r="AH8" s="24">
        <v>0.1</v>
      </c>
      <c r="AI8" s="4">
        <v>1</v>
      </c>
      <c r="AJ8" s="15">
        <v>0</v>
      </c>
      <c r="AK8" s="2">
        <v>0</v>
      </c>
      <c r="AL8" s="1"/>
      <c r="AM8" s="26"/>
      <c r="AN8" s="29"/>
      <c r="AO8" s="39"/>
      <c r="AP8" s="28"/>
      <c r="AQ8" s="2">
        <v>26.4</v>
      </c>
      <c r="AR8" s="32">
        <v>5.34</v>
      </c>
      <c r="AS8" s="30">
        <v>0.1</v>
      </c>
      <c r="AT8" s="13">
        <v>1</v>
      </c>
      <c r="AU8" s="29">
        <v>0.3</v>
      </c>
      <c r="AV8" s="2">
        <v>1</v>
      </c>
      <c r="AW8" s="2">
        <v>1</v>
      </c>
    </row>
    <row r="9" spans="1:49" x14ac:dyDescent="0.2">
      <c r="A9" s="3">
        <v>323</v>
      </c>
      <c r="B9" t="s">
        <v>25</v>
      </c>
      <c r="C9" s="2">
        <v>46.9</v>
      </c>
      <c r="D9" s="4">
        <v>2</v>
      </c>
      <c r="E9" s="4">
        <v>2</v>
      </c>
      <c r="F9" s="5">
        <v>2</v>
      </c>
      <c r="G9" s="5">
        <v>24.5</v>
      </c>
      <c r="H9">
        <v>1</v>
      </c>
      <c r="I9" t="s">
        <v>26</v>
      </c>
      <c r="J9" s="2">
        <v>1</v>
      </c>
      <c r="K9">
        <v>1</v>
      </c>
      <c r="M9" s="2">
        <v>0.6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 s="1"/>
      <c r="U9" s="1"/>
      <c r="V9" s="13"/>
      <c r="W9" s="1"/>
      <c r="Y9" s="4">
        <v>1</v>
      </c>
      <c r="Z9">
        <v>1</v>
      </c>
      <c r="AA9">
        <v>0</v>
      </c>
      <c r="AB9">
        <v>1</v>
      </c>
      <c r="AC9" s="2">
        <v>1</v>
      </c>
      <c r="AD9" s="19"/>
      <c r="AE9" s="2">
        <v>2</v>
      </c>
      <c r="AF9" s="2">
        <v>2</v>
      </c>
      <c r="AG9" s="13">
        <v>1.0900000000000001</v>
      </c>
      <c r="AH9" s="24">
        <v>0.1</v>
      </c>
      <c r="AI9" s="4">
        <v>1</v>
      </c>
      <c r="AJ9" s="37">
        <f>0.9/2</f>
        <v>0.45</v>
      </c>
      <c r="AK9" s="2">
        <v>0</v>
      </c>
      <c r="AL9" s="1"/>
      <c r="AM9" s="26"/>
      <c r="AN9" s="29"/>
      <c r="AO9" s="39"/>
      <c r="AP9" s="28"/>
      <c r="AQ9" s="2">
        <v>66.599999999999994</v>
      </c>
      <c r="AR9" s="29">
        <v>0.7</v>
      </c>
      <c r="AS9" s="34">
        <v>0.1</v>
      </c>
      <c r="AT9" s="13">
        <v>1</v>
      </c>
      <c r="AU9" s="29">
        <v>0.9</v>
      </c>
      <c r="AV9" s="2">
        <v>1</v>
      </c>
      <c r="AW9" s="2">
        <v>1</v>
      </c>
    </row>
    <row r="10" spans="1:49" x14ac:dyDescent="0.2">
      <c r="A10" s="3">
        <v>90</v>
      </c>
      <c r="B10" t="s">
        <v>25</v>
      </c>
      <c r="C10" s="2">
        <v>38.799999999999997</v>
      </c>
      <c r="D10" s="4">
        <v>2</v>
      </c>
      <c r="E10" s="4">
        <v>2</v>
      </c>
      <c r="F10" s="5">
        <v>2</v>
      </c>
      <c r="G10" s="5">
        <v>22.8</v>
      </c>
      <c r="H10">
        <v>1</v>
      </c>
      <c r="I10" t="s">
        <v>26</v>
      </c>
      <c r="J10" s="2">
        <v>1</v>
      </c>
      <c r="M10" s="2">
        <v>1</v>
      </c>
      <c r="N10">
        <v>1</v>
      </c>
      <c r="O10">
        <v>1</v>
      </c>
      <c r="P10">
        <v>1</v>
      </c>
      <c r="Q10">
        <v>2</v>
      </c>
      <c r="R10">
        <v>2</v>
      </c>
      <c r="T10" s="1"/>
      <c r="U10" s="1"/>
      <c r="V10" s="13"/>
      <c r="W10" s="1"/>
      <c r="Y10" s="4">
        <v>1</v>
      </c>
      <c r="Z10">
        <v>1</v>
      </c>
      <c r="AA10">
        <v>0</v>
      </c>
      <c r="AB10">
        <v>1</v>
      </c>
      <c r="AC10" s="2">
        <v>1</v>
      </c>
      <c r="AD10" s="19"/>
      <c r="AE10" s="2">
        <v>1</v>
      </c>
      <c r="AF10" s="2">
        <v>3</v>
      </c>
      <c r="AG10" s="13">
        <v>1</v>
      </c>
      <c r="AH10" s="24">
        <v>0.1</v>
      </c>
      <c r="AI10" s="4">
        <v>1</v>
      </c>
      <c r="AJ10" s="15">
        <v>3.3</v>
      </c>
      <c r="AK10" s="2">
        <v>0</v>
      </c>
      <c r="AL10" s="1"/>
      <c r="AM10" s="26"/>
      <c r="AN10" s="29"/>
      <c r="AO10" s="39"/>
      <c r="AP10" s="28"/>
      <c r="AQ10" s="2">
        <v>54.3</v>
      </c>
      <c r="AR10" s="29">
        <v>0.1</v>
      </c>
      <c r="AS10" s="28">
        <v>0.25</v>
      </c>
      <c r="AT10" s="13">
        <v>1</v>
      </c>
      <c r="AU10" s="29">
        <v>20</v>
      </c>
      <c r="AV10" s="2">
        <v>1</v>
      </c>
      <c r="AW10" s="2">
        <v>1</v>
      </c>
    </row>
    <row r="11" spans="1:49" x14ac:dyDescent="0.2">
      <c r="A11" s="3">
        <v>104</v>
      </c>
      <c r="B11" t="s">
        <v>25</v>
      </c>
      <c r="C11" s="2">
        <v>24.6</v>
      </c>
      <c r="D11" s="4">
        <v>2</v>
      </c>
      <c r="E11" s="4">
        <v>2</v>
      </c>
      <c r="F11" s="5">
        <v>1</v>
      </c>
      <c r="G11" s="5">
        <v>23.6</v>
      </c>
      <c r="H11">
        <v>2</v>
      </c>
      <c r="I11" t="s">
        <v>26</v>
      </c>
      <c r="J11" s="2">
        <v>1</v>
      </c>
      <c r="K11">
        <v>4</v>
      </c>
      <c r="M11" s="2">
        <v>4</v>
      </c>
      <c r="N11">
        <v>1</v>
      </c>
      <c r="O11">
        <v>1</v>
      </c>
      <c r="P11">
        <v>2</v>
      </c>
      <c r="Q11">
        <v>1</v>
      </c>
      <c r="S11">
        <v>1</v>
      </c>
      <c r="T11" s="3">
        <v>45</v>
      </c>
      <c r="U11" s="3">
        <v>5</v>
      </c>
      <c r="V11" s="13">
        <v>11.11</v>
      </c>
      <c r="W11" s="2">
        <v>1.4</v>
      </c>
      <c r="X11">
        <v>2</v>
      </c>
      <c r="Y11" s="4">
        <v>1</v>
      </c>
      <c r="Z11">
        <v>3</v>
      </c>
      <c r="AA11">
        <v>2</v>
      </c>
      <c r="AB11">
        <v>1</v>
      </c>
      <c r="AC11" s="2">
        <v>1</v>
      </c>
      <c r="AD11" s="19"/>
      <c r="AE11" s="2">
        <v>2</v>
      </c>
      <c r="AF11" s="2">
        <v>3</v>
      </c>
      <c r="AG11" s="13">
        <v>4.47</v>
      </c>
      <c r="AH11" s="24">
        <v>0.1</v>
      </c>
      <c r="AI11" s="4">
        <v>1</v>
      </c>
      <c r="AJ11" s="24">
        <v>10</v>
      </c>
      <c r="AK11" s="2">
        <v>1</v>
      </c>
      <c r="AL11" s="3">
        <v>100</v>
      </c>
      <c r="AM11" s="26">
        <v>117</v>
      </c>
      <c r="AN11" s="29">
        <v>1.44</v>
      </c>
      <c r="AO11" s="38">
        <v>1</v>
      </c>
      <c r="AP11" s="34">
        <v>10</v>
      </c>
      <c r="AQ11" s="2">
        <v>84.5</v>
      </c>
      <c r="AR11" s="29">
        <v>0.95</v>
      </c>
      <c r="AS11" s="34">
        <v>0.05</v>
      </c>
      <c r="AT11" s="13">
        <v>1</v>
      </c>
      <c r="AU11" s="29">
        <v>2.4</v>
      </c>
      <c r="AV11" s="2">
        <v>1</v>
      </c>
      <c r="AW11" s="2">
        <v>1</v>
      </c>
    </row>
    <row r="12" spans="1:49" x14ac:dyDescent="0.2">
      <c r="A12" s="3">
        <v>68</v>
      </c>
      <c r="B12" t="s">
        <v>25</v>
      </c>
      <c r="C12" s="2">
        <v>47.1</v>
      </c>
      <c r="D12" s="4">
        <v>2</v>
      </c>
      <c r="E12" s="4">
        <v>1</v>
      </c>
      <c r="F12" s="5">
        <v>1</v>
      </c>
      <c r="G12" s="5">
        <v>27</v>
      </c>
      <c r="H12">
        <v>1</v>
      </c>
      <c r="I12" t="s">
        <v>26</v>
      </c>
      <c r="J12" s="2">
        <v>1</v>
      </c>
      <c r="K12">
        <v>1</v>
      </c>
      <c r="M12" s="2">
        <v>1.7</v>
      </c>
      <c r="N12">
        <v>2</v>
      </c>
      <c r="O12">
        <v>1</v>
      </c>
      <c r="P12">
        <v>2</v>
      </c>
      <c r="Q12">
        <v>1</v>
      </c>
      <c r="R12">
        <v>2</v>
      </c>
      <c r="S12">
        <v>1</v>
      </c>
      <c r="T12" s="3">
        <v>2</v>
      </c>
      <c r="U12" s="3">
        <v>1</v>
      </c>
      <c r="V12" s="13">
        <v>50</v>
      </c>
      <c r="W12" s="2">
        <v>0.3</v>
      </c>
      <c r="X12">
        <v>2</v>
      </c>
      <c r="Y12" s="4">
        <v>1</v>
      </c>
      <c r="Z12">
        <v>1</v>
      </c>
      <c r="AA12">
        <v>3</v>
      </c>
      <c r="AB12">
        <v>1</v>
      </c>
      <c r="AC12" s="2">
        <v>1</v>
      </c>
      <c r="AD12" s="6">
        <v>1</v>
      </c>
      <c r="AE12" s="2">
        <v>2</v>
      </c>
      <c r="AF12" s="2">
        <v>3</v>
      </c>
      <c r="AG12" s="13">
        <v>0.01</v>
      </c>
      <c r="AH12" s="24">
        <v>0.1</v>
      </c>
      <c r="AI12" s="4">
        <v>1</v>
      </c>
      <c r="AJ12" s="24">
        <v>10</v>
      </c>
      <c r="AK12" s="2">
        <v>1</v>
      </c>
      <c r="AL12" s="3">
        <v>30</v>
      </c>
      <c r="AM12" s="26">
        <v>32.6</v>
      </c>
      <c r="AN12" s="28">
        <v>3.5</v>
      </c>
      <c r="AO12" s="38">
        <v>1</v>
      </c>
      <c r="AP12" s="34">
        <v>10</v>
      </c>
      <c r="AQ12" s="2">
        <v>107.4</v>
      </c>
      <c r="AR12" s="29" t="s">
        <v>31</v>
      </c>
      <c r="AS12" s="28">
        <v>0.89</v>
      </c>
      <c r="AT12" s="13">
        <v>1</v>
      </c>
      <c r="AU12" s="29">
        <v>1.3</v>
      </c>
      <c r="AV12" s="2">
        <v>4</v>
      </c>
      <c r="AW12" s="2">
        <v>4</v>
      </c>
    </row>
    <row r="13" spans="1:49" x14ac:dyDescent="0.2">
      <c r="A13" s="3">
        <v>89</v>
      </c>
      <c r="B13" t="s">
        <v>25</v>
      </c>
      <c r="C13" s="2">
        <v>52.6</v>
      </c>
      <c r="D13" s="4">
        <v>2</v>
      </c>
      <c r="E13" s="4">
        <v>2</v>
      </c>
      <c r="F13" s="5">
        <v>1</v>
      </c>
      <c r="G13" s="5">
        <v>36.299999999999997</v>
      </c>
      <c r="H13">
        <v>2</v>
      </c>
      <c r="I13" t="s">
        <v>26</v>
      </c>
      <c r="J13" s="2">
        <v>1</v>
      </c>
      <c r="K13">
        <v>3</v>
      </c>
      <c r="M13" s="2">
        <v>1.4</v>
      </c>
      <c r="N13">
        <v>2</v>
      </c>
      <c r="O13">
        <v>1</v>
      </c>
      <c r="P13">
        <v>1</v>
      </c>
      <c r="Q13">
        <v>1</v>
      </c>
      <c r="R13">
        <v>2</v>
      </c>
      <c r="S13">
        <v>2</v>
      </c>
      <c r="T13" s="1"/>
      <c r="U13" s="1"/>
      <c r="V13" s="13"/>
      <c r="W13" s="1"/>
      <c r="Y13" s="4">
        <v>1</v>
      </c>
      <c r="Z13">
        <v>1</v>
      </c>
      <c r="AA13">
        <v>0</v>
      </c>
      <c r="AB13">
        <v>1</v>
      </c>
      <c r="AC13" s="2">
        <v>1</v>
      </c>
      <c r="AD13" s="19"/>
      <c r="AE13" s="2">
        <v>2</v>
      </c>
      <c r="AF13" s="2">
        <v>3</v>
      </c>
      <c r="AG13" s="13">
        <v>0.25</v>
      </c>
      <c r="AH13" s="15">
        <v>0.1</v>
      </c>
      <c r="AI13" s="4">
        <v>1</v>
      </c>
      <c r="AJ13" s="24">
        <v>10</v>
      </c>
      <c r="AK13" s="2">
        <v>1</v>
      </c>
      <c r="AL13" s="3">
        <v>30</v>
      </c>
      <c r="AM13" s="26">
        <v>33.299999999999997</v>
      </c>
      <c r="AN13" s="28">
        <v>0.2</v>
      </c>
      <c r="AO13" s="38">
        <v>1</v>
      </c>
      <c r="AP13" s="34">
        <v>10</v>
      </c>
      <c r="AQ13" s="2">
        <v>55.6</v>
      </c>
      <c r="AR13" s="29">
        <v>3.52</v>
      </c>
      <c r="AS13" s="34">
        <v>0.05</v>
      </c>
      <c r="AT13" s="13">
        <v>1</v>
      </c>
      <c r="AU13" s="29">
        <v>20</v>
      </c>
      <c r="AV13" s="2">
        <v>1</v>
      </c>
      <c r="AW13" s="2">
        <v>1</v>
      </c>
    </row>
    <row r="14" spans="1:49" x14ac:dyDescent="0.2">
      <c r="A14" s="3">
        <v>253</v>
      </c>
      <c r="B14" t="s">
        <v>25</v>
      </c>
      <c r="C14" s="2">
        <v>62.1</v>
      </c>
      <c r="D14" s="4">
        <v>2</v>
      </c>
      <c r="E14" s="4">
        <v>1</v>
      </c>
      <c r="F14" s="5">
        <v>1</v>
      </c>
      <c r="G14" s="5">
        <v>30.2</v>
      </c>
      <c r="H14">
        <v>1</v>
      </c>
      <c r="I14" t="s">
        <v>26</v>
      </c>
      <c r="J14" s="2">
        <v>1</v>
      </c>
      <c r="K14">
        <v>3</v>
      </c>
      <c r="M14" s="2">
        <v>2.9</v>
      </c>
      <c r="N14">
        <v>2</v>
      </c>
      <c r="O14">
        <v>1</v>
      </c>
      <c r="P14">
        <v>1</v>
      </c>
      <c r="Q14">
        <v>2</v>
      </c>
      <c r="R14">
        <v>2</v>
      </c>
      <c r="T14" s="1"/>
      <c r="U14" s="1"/>
      <c r="V14" s="13"/>
      <c r="W14" s="1"/>
      <c r="Y14" s="4">
        <v>2</v>
      </c>
      <c r="Z14">
        <v>2</v>
      </c>
      <c r="AA14">
        <v>3</v>
      </c>
      <c r="AB14">
        <v>1</v>
      </c>
      <c r="AC14" s="2">
        <v>1</v>
      </c>
      <c r="AD14" s="19"/>
      <c r="AE14" s="2">
        <v>2</v>
      </c>
      <c r="AF14" s="2">
        <v>3</v>
      </c>
      <c r="AG14" s="13">
        <v>0.15</v>
      </c>
      <c r="AH14" s="24">
        <v>0.1</v>
      </c>
      <c r="AI14" s="4">
        <v>1</v>
      </c>
      <c r="AJ14" s="24">
        <v>10</v>
      </c>
      <c r="AK14" s="2">
        <v>1</v>
      </c>
      <c r="AL14" s="3">
        <v>100</v>
      </c>
      <c r="AM14" s="26">
        <v>44.3</v>
      </c>
      <c r="AN14" s="34">
        <v>0.1</v>
      </c>
      <c r="AO14" s="38">
        <v>1</v>
      </c>
      <c r="AP14" s="34">
        <v>10</v>
      </c>
      <c r="AQ14" s="2">
        <v>57</v>
      </c>
      <c r="AR14" s="29">
        <v>2.4</v>
      </c>
      <c r="AS14" s="29">
        <v>0.4</v>
      </c>
      <c r="AT14" s="13">
        <v>1</v>
      </c>
      <c r="AU14" s="29">
        <v>0.9</v>
      </c>
      <c r="AV14" s="2">
        <v>2</v>
      </c>
      <c r="AW14" s="2">
        <v>2</v>
      </c>
    </row>
    <row r="15" spans="1:49" x14ac:dyDescent="0.2">
      <c r="A15" s="3">
        <v>130</v>
      </c>
      <c r="B15" t="s">
        <v>27</v>
      </c>
      <c r="C15" s="2">
        <v>28.4</v>
      </c>
      <c r="D15" s="4">
        <v>2</v>
      </c>
      <c r="E15" s="4">
        <v>2</v>
      </c>
      <c r="F15" s="5">
        <v>1</v>
      </c>
      <c r="G15" s="5">
        <v>25.1</v>
      </c>
      <c r="H15">
        <v>2</v>
      </c>
      <c r="I15" t="s">
        <v>26</v>
      </c>
      <c r="J15" s="2">
        <v>1</v>
      </c>
      <c r="K15">
        <v>3</v>
      </c>
      <c r="M15" s="2">
        <v>6.5</v>
      </c>
      <c r="N15">
        <v>1</v>
      </c>
      <c r="O15">
        <v>2</v>
      </c>
      <c r="P15">
        <v>2</v>
      </c>
      <c r="Q15">
        <v>2</v>
      </c>
      <c r="R15">
        <v>2</v>
      </c>
      <c r="S15">
        <v>1</v>
      </c>
      <c r="T15" s="3">
        <v>49</v>
      </c>
      <c r="U15" s="3">
        <v>18</v>
      </c>
      <c r="V15" s="13">
        <v>36.729999999999997</v>
      </c>
      <c r="W15" s="2">
        <v>1.9</v>
      </c>
      <c r="X15">
        <v>2</v>
      </c>
      <c r="Y15" s="4">
        <v>2</v>
      </c>
      <c r="Z15">
        <v>3</v>
      </c>
      <c r="AA15">
        <v>2</v>
      </c>
      <c r="AB15">
        <v>1</v>
      </c>
      <c r="AC15" s="2">
        <v>1</v>
      </c>
      <c r="AD15" s="19"/>
      <c r="AE15" s="2">
        <v>2</v>
      </c>
      <c r="AF15" s="2">
        <v>3</v>
      </c>
      <c r="AG15" s="13">
        <v>0.81</v>
      </c>
      <c r="AH15" s="13">
        <v>0.1</v>
      </c>
      <c r="AI15" s="4">
        <v>1</v>
      </c>
      <c r="AJ15" s="24">
        <v>10</v>
      </c>
      <c r="AK15" s="2">
        <v>1</v>
      </c>
      <c r="AL15" s="3">
        <v>30</v>
      </c>
      <c r="AM15" s="26">
        <v>125</v>
      </c>
      <c r="AN15" s="28">
        <v>1.1200000000000001</v>
      </c>
      <c r="AO15" s="38">
        <v>1</v>
      </c>
      <c r="AP15" s="34">
        <v>10</v>
      </c>
      <c r="AQ15" s="2">
        <v>40.799999999999997</v>
      </c>
      <c r="AR15" s="29">
        <v>1.03</v>
      </c>
      <c r="AS15" s="28">
        <v>0.1</v>
      </c>
      <c r="AT15" s="13">
        <v>1</v>
      </c>
      <c r="AU15" s="29">
        <v>20</v>
      </c>
      <c r="AV15" s="2">
        <v>1</v>
      </c>
      <c r="AW15" s="2">
        <v>1</v>
      </c>
    </row>
    <row r="16" spans="1:49" x14ac:dyDescent="0.2">
      <c r="A16" s="3">
        <v>178</v>
      </c>
      <c r="B16" t="s">
        <v>25</v>
      </c>
      <c r="C16" s="2">
        <v>58.3</v>
      </c>
      <c r="D16" s="4">
        <v>2</v>
      </c>
      <c r="E16" s="4">
        <v>2</v>
      </c>
      <c r="F16" s="5">
        <v>2</v>
      </c>
      <c r="G16" s="5">
        <v>28</v>
      </c>
      <c r="H16">
        <v>2</v>
      </c>
      <c r="I16" t="s">
        <v>26</v>
      </c>
      <c r="J16" s="2">
        <v>1</v>
      </c>
      <c r="K16">
        <v>1</v>
      </c>
      <c r="M16" s="2">
        <v>1.9</v>
      </c>
      <c r="N16">
        <v>1</v>
      </c>
      <c r="O16">
        <v>1</v>
      </c>
      <c r="P16">
        <v>2</v>
      </c>
      <c r="Q16">
        <v>1</v>
      </c>
      <c r="R16">
        <v>2</v>
      </c>
      <c r="S16">
        <v>2</v>
      </c>
      <c r="T16" s="1"/>
      <c r="U16" s="1"/>
      <c r="V16" s="13"/>
      <c r="W16" s="1"/>
      <c r="Y16" s="4">
        <v>1</v>
      </c>
      <c r="Z16">
        <v>1</v>
      </c>
      <c r="AA16">
        <v>0</v>
      </c>
      <c r="AB16">
        <v>1</v>
      </c>
      <c r="AC16" s="2">
        <v>1</v>
      </c>
      <c r="AD16" s="19"/>
      <c r="AE16" s="2">
        <v>2</v>
      </c>
      <c r="AF16" s="2">
        <v>3</v>
      </c>
      <c r="AG16" s="13">
        <v>0.05</v>
      </c>
      <c r="AH16" s="15">
        <v>0.1</v>
      </c>
      <c r="AI16" s="4">
        <v>1</v>
      </c>
      <c r="AJ16" s="24">
        <v>10</v>
      </c>
      <c r="AK16" s="2">
        <v>1</v>
      </c>
      <c r="AL16" s="3">
        <v>30</v>
      </c>
      <c r="AM16" s="26">
        <v>89</v>
      </c>
      <c r="AN16" s="28">
        <v>0.1</v>
      </c>
      <c r="AO16" s="38">
        <v>1</v>
      </c>
      <c r="AP16" s="34">
        <v>10</v>
      </c>
      <c r="AQ16" s="2">
        <v>48.8</v>
      </c>
      <c r="AR16" s="29">
        <v>0.65</v>
      </c>
      <c r="AS16" s="34">
        <f>0.1/2</f>
        <v>0.05</v>
      </c>
      <c r="AT16" s="13">
        <v>1</v>
      </c>
      <c r="AU16" s="29">
        <v>2</v>
      </c>
      <c r="AV16" s="2">
        <v>1</v>
      </c>
      <c r="AW16" s="2">
        <v>1</v>
      </c>
    </row>
    <row r="17" spans="1:49" x14ac:dyDescent="0.2">
      <c r="A17" s="3">
        <v>142</v>
      </c>
      <c r="B17" t="s">
        <v>25</v>
      </c>
      <c r="C17" s="2">
        <v>47.4</v>
      </c>
      <c r="D17" s="4">
        <v>2</v>
      </c>
      <c r="E17" s="4">
        <v>2</v>
      </c>
      <c r="F17" s="5">
        <v>1</v>
      </c>
      <c r="G17" s="5">
        <v>34.200000000000003</v>
      </c>
      <c r="H17">
        <v>2</v>
      </c>
      <c r="I17" t="s">
        <v>26</v>
      </c>
      <c r="J17" s="2">
        <v>1</v>
      </c>
      <c r="K17">
        <v>1</v>
      </c>
      <c r="M17" s="2">
        <v>2.6</v>
      </c>
      <c r="N17">
        <v>1</v>
      </c>
      <c r="O17">
        <v>1</v>
      </c>
      <c r="P17">
        <v>2</v>
      </c>
      <c r="Q17">
        <v>2</v>
      </c>
      <c r="R17">
        <v>2</v>
      </c>
      <c r="S17">
        <v>1</v>
      </c>
      <c r="T17" s="3">
        <v>120</v>
      </c>
      <c r="U17" s="3">
        <v>22</v>
      </c>
      <c r="V17" s="13">
        <v>18.329999999999998</v>
      </c>
      <c r="W17" s="2">
        <v>3.8</v>
      </c>
      <c r="X17">
        <v>2</v>
      </c>
      <c r="Y17" s="4">
        <v>1</v>
      </c>
      <c r="Z17">
        <v>2</v>
      </c>
      <c r="AA17">
        <v>2</v>
      </c>
      <c r="AB17">
        <v>1</v>
      </c>
      <c r="AC17" s="2">
        <v>1</v>
      </c>
      <c r="AD17" s="6">
        <v>1</v>
      </c>
      <c r="AE17" s="2">
        <v>3</v>
      </c>
      <c r="AF17" s="2">
        <v>4</v>
      </c>
      <c r="AG17" s="13">
        <v>2.87</v>
      </c>
      <c r="AH17" s="15">
        <v>0.1</v>
      </c>
      <c r="AI17" s="4">
        <v>2</v>
      </c>
      <c r="AJ17" s="15">
        <v>54</v>
      </c>
      <c r="AK17" s="2">
        <v>1</v>
      </c>
      <c r="AL17" s="3">
        <v>100</v>
      </c>
      <c r="AM17" s="26">
        <v>102</v>
      </c>
      <c r="AN17" s="29">
        <v>0.37</v>
      </c>
      <c r="AO17" s="38">
        <v>2</v>
      </c>
      <c r="AP17" s="28">
        <v>42</v>
      </c>
      <c r="AQ17" s="2">
        <v>51.7</v>
      </c>
      <c r="AR17" s="29">
        <v>0.1</v>
      </c>
      <c r="AS17" s="34">
        <f>0.1/2</f>
        <v>0.05</v>
      </c>
      <c r="AT17" s="13">
        <v>2</v>
      </c>
      <c r="AU17" s="29">
        <v>165</v>
      </c>
      <c r="AV17" s="2">
        <v>4</v>
      </c>
      <c r="AW17" s="2">
        <v>4</v>
      </c>
    </row>
    <row r="18" spans="1:49" x14ac:dyDescent="0.2">
      <c r="A18" s="3">
        <v>120</v>
      </c>
      <c r="B18" t="s">
        <v>25</v>
      </c>
      <c r="C18" s="2">
        <v>52.4</v>
      </c>
      <c r="D18" s="4">
        <v>2</v>
      </c>
      <c r="E18" s="4">
        <v>2</v>
      </c>
      <c r="F18" s="5">
        <v>2</v>
      </c>
      <c r="G18" s="5">
        <v>27.4</v>
      </c>
      <c r="H18">
        <v>1</v>
      </c>
      <c r="I18" t="s">
        <v>26</v>
      </c>
      <c r="J18" s="2">
        <v>1</v>
      </c>
      <c r="K18">
        <v>1</v>
      </c>
      <c r="M18" s="2">
        <v>1.3</v>
      </c>
      <c r="O18">
        <v>2</v>
      </c>
      <c r="P18">
        <v>2</v>
      </c>
      <c r="Q18">
        <v>1</v>
      </c>
      <c r="R18">
        <v>2</v>
      </c>
      <c r="S18">
        <v>2</v>
      </c>
      <c r="T18" s="1"/>
      <c r="U18" s="1"/>
      <c r="V18" s="13"/>
      <c r="W18" s="1"/>
      <c r="Y18" s="4">
        <v>1</v>
      </c>
      <c r="Z18">
        <v>1</v>
      </c>
      <c r="AA18">
        <v>0</v>
      </c>
      <c r="AB18">
        <v>1</v>
      </c>
      <c r="AC18" s="2">
        <v>1</v>
      </c>
      <c r="AD18" s="19"/>
      <c r="AE18" s="2">
        <v>2</v>
      </c>
      <c r="AF18" s="2">
        <v>3</v>
      </c>
      <c r="AG18" s="13">
        <v>0.4</v>
      </c>
      <c r="AH18" s="15">
        <v>0.1</v>
      </c>
      <c r="AI18" s="4">
        <v>1</v>
      </c>
      <c r="AJ18" s="24">
        <v>10</v>
      </c>
      <c r="AK18" s="2">
        <v>0</v>
      </c>
      <c r="AL18" s="3">
        <v>30</v>
      </c>
      <c r="AM18" s="26">
        <v>103</v>
      </c>
      <c r="AN18" s="29">
        <v>0.13</v>
      </c>
      <c r="AO18" s="38">
        <v>1</v>
      </c>
      <c r="AP18" s="34">
        <v>10</v>
      </c>
      <c r="AQ18" s="2">
        <v>60.6</v>
      </c>
      <c r="AR18" s="29">
        <v>0.33</v>
      </c>
      <c r="AS18" s="34">
        <v>0.05</v>
      </c>
      <c r="AT18" s="13">
        <v>1</v>
      </c>
      <c r="AU18" s="29">
        <v>1.3</v>
      </c>
      <c r="AV18" s="2">
        <v>1</v>
      </c>
      <c r="AW18" s="2">
        <v>1</v>
      </c>
    </row>
    <row r="19" spans="1:49" x14ac:dyDescent="0.2">
      <c r="A19" s="3">
        <v>23</v>
      </c>
      <c r="B19" t="s">
        <v>27</v>
      </c>
      <c r="C19" s="2">
        <v>65.599999999999994</v>
      </c>
      <c r="D19" s="4">
        <v>2</v>
      </c>
      <c r="E19" s="4">
        <v>2</v>
      </c>
      <c r="F19" s="5"/>
      <c r="G19" s="5">
        <v>27</v>
      </c>
      <c r="H19">
        <v>2</v>
      </c>
      <c r="I19" t="s">
        <v>26</v>
      </c>
      <c r="J19" s="2">
        <v>1</v>
      </c>
      <c r="K19">
        <v>1</v>
      </c>
      <c r="M19" s="2">
        <v>2.2999999999999998</v>
      </c>
      <c r="N19">
        <v>2</v>
      </c>
      <c r="O19">
        <v>1</v>
      </c>
      <c r="P19">
        <v>1</v>
      </c>
      <c r="Q19">
        <v>1</v>
      </c>
      <c r="R19">
        <v>1</v>
      </c>
      <c r="S19">
        <v>1</v>
      </c>
      <c r="T19" s="3">
        <v>23</v>
      </c>
      <c r="U19" s="3">
        <v>10</v>
      </c>
      <c r="V19" s="13">
        <v>43.48</v>
      </c>
      <c r="W19" s="2">
        <v>2.2000000000000002</v>
      </c>
      <c r="X19">
        <v>2</v>
      </c>
      <c r="Y19" s="4">
        <v>1</v>
      </c>
      <c r="Z19">
        <v>2</v>
      </c>
      <c r="AA19">
        <v>2</v>
      </c>
      <c r="AB19">
        <v>1</v>
      </c>
      <c r="AC19" s="2">
        <v>2</v>
      </c>
      <c r="AD19" s="19"/>
      <c r="AE19" s="2">
        <v>2</v>
      </c>
      <c r="AF19" s="2">
        <v>3</v>
      </c>
      <c r="AG19" s="13">
        <v>0.02</v>
      </c>
      <c r="AH19" s="15">
        <v>0.1</v>
      </c>
      <c r="AI19" s="4">
        <v>2</v>
      </c>
      <c r="AJ19" s="15">
        <v>196</v>
      </c>
      <c r="AK19" s="2">
        <v>1</v>
      </c>
      <c r="AL19" s="3">
        <v>100</v>
      </c>
      <c r="AM19" s="26">
        <v>36.200000000000003</v>
      </c>
      <c r="AN19" s="29">
        <v>0.13</v>
      </c>
      <c r="AO19" s="38">
        <v>2</v>
      </c>
      <c r="AP19" s="28">
        <v>216</v>
      </c>
      <c r="AQ19" s="2">
        <v>62.9</v>
      </c>
      <c r="AR19" s="29">
        <v>0.25</v>
      </c>
      <c r="AS19" s="34">
        <f>0.1/2</f>
        <v>0.05</v>
      </c>
      <c r="AT19" s="13">
        <v>2</v>
      </c>
      <c r="AU19" s="29">
        <v>1000</v>
      </c>
      <c r="AV19" s="2">
        <v>3</v>
      </c>
      <c r="AW19" s="2">
        <v>3</v>
      </c>
    </row>
    <row r="20" spans="1:49" x14ac:dyDescent="0.2">
      <c r="A20" s="3">
        <v>233</v>
      </c>
      <c r="B20" t="s">
        <v>27</v>
      </c>
      <c r="C20" s="2">
        <v>68.7</v>
      </c>
      <c r="D20" s="4">
        <v>2</v>
      </c>
      <c r="E20" s="4">
        <v>2</v>
      </c>
      <c r="F20" s="5">
        <v>1</v>
      </c>
      <c r="G20" s="5">
        <v>26.1</v>
      </c>
      <c r="H20">
        <v>2</v>
      </c>
      <c r="I20" t="s">
        <v>26</v>
      </c>
      <c r="J20" s="2">
        <v>1</v>
      </c>
      <c r="K20">
        <v>3</v>
      </c>
      <c r="M20" s="2">
        <v>3.6</v>
      </c>
      <c r="N20">
        <v>1</v>
      </c>
      <c r="O20">
        <v>1</v>
      </c>
      <c r="P20">
        <v>2</v>
      </c>
      <c r="S20">
        <v>1</v>
      </c>
      <c r="T20" s="3">
        <v>20</v>
      </c>
      <c r="U20" s="3">
        <v>8</v>
      </c>
      <c r="V20" s="13">
        <v>40</v>
      </c>
      <c r="W20" s="2">
        <v>3.2</v>
      </c>
      <c r="Y20" s="4">
        <v>1</v>
      </c>
      <c r="Z20">
        <v>2</v>
      </c>
      <c r="AA20">
        <v>2</v>
      </c>
      <c r="AB20">
        <v>1</v>
      </c>
      <c r="AC20" s="2">
        <v>2</v>
      </c>
      <c r="AD20" s="19"/>
      <c r="AE20" s="2">
        <v>3</v>
      </c>
      <c r="AF20" s="2">
        <v>4</v>
      </c>
      <c r="AG20" s="13">
        <v>0.79</v>
      </c>
      <c r="AH20" s="24">
        <v>0.1</v>
      </c>
      <c r="AI20" s="10"/>
      <c r="AJ20" s="15">
        <v>1893</v>
      </c>
      <c r="AK20" s="2">
        <v>1</v>
      </c>
      <c r="AL20" s="3">
        <v>100</v>
      </c>
      <c r="AM20" s="27">
        <v>75</v>
      </c>
      <c r="AN20" s="28"/>
      <c r="AO20" s="38">
        <v>2</v>
      </c>
      <c r="AP20" s="28">
        <v>140</v>
      </c>
      <c r="AQ20" s="2">
        <v>24.5</v>
      </c>
      <c r="AR20" s="29">
        <v>0.03</v>
      </c>
      <c r="AS20" s="28"/>
      <c r="AT20" s="13">
        <v>2</v>
      </c>
      <c r="AU20" s="29">
        <v>94</v>
      </c>
      <c r="AV20" s="2">
        <v>4</v>
      </c>
      <c r="AW20" s="2">
        <v>4</v>
      </c>
    </row>
    <row r="21" spans="1:49" x14ac:dyDescent="0.2">
      <c r="A21" s="3">
        <v>179</v>
      </c>
      <c r="B21" t="s">
        <v>25</v>
      </c>
      <c r="C21" s="2">
        <v>67</v>
      </c>
      <c r="D21" s="4">
        <v>2</v>
      </c>
      <c r="E21" s="4">
        <v>2</v>
      </c>
      <c r="F21" s="5">
        <v>1</v>
      </c>
      <c r="G21" s="5">
        <v>32.4</v>
      </c>
      <c r="H21">
        <v>1</v>
      </c>
      <c r="I21" t="s">
        <v>26</v>
      </c>
      <c r="J21" s="2">
        <v>1</v>
      </c>
      <c r="K21">
        <v>10</v>
      </c>
      <c r="M21" s="2">
        <v>2</v>
      </c>
      <c r="N21">
        <v>2</v>
      </c>
      <c r="O21">
        <v>1</v>
      </c>
      <c r="P21">
        <v>1</v>
      </c>
      <c r="Q21">
        <v>1</v>
      </c>
      <c r="R21">
        <v>2</v>
      </c>
      <c r="S21">
        <v>2</v>
      </c>
      <c r="T21" s="1"/>
      <c r="U21" s="1"/>
      <c r="V21" s="13"/>
      <c r="W21" s="1"/>
      <c r="Y21" s="4">
        <v>1</v>
      </c>
      <c r="Z21">
        <v>2</v>
      </c>
      <c r="AA21">
        <v>0</v>
      </c>
      <c r="AB21">
        <v>1</v>
      </c>
      <c r="AC21" s="2">
        <v>1</v>
      </c>
      <c r="AD21" s="6">
        <v>0</v>
      </c>
      <c r="AE21" s="2">
        <v>2</v>
      </c>
      <c r="AF21" s="2">
        <v>3</v>
      </c>
      <c r="AG21" s="13">
        <v>1.02</v>
      </c>
      <c r="AH21" s="24">
        <v>0.1</v>
      </c>
      <c r="AI21" s="4">
        <v>1</v>
      </c>
      <c r="AJ21" s="24">
        <v>10</v>
      </c>
      <c r="AK21" s="2">
        <v>1</v>
      </c>
      <c r="AL21" s="3">
        <v>50</v>
      </c>
      <c r="AM21" s="26">
        <v>148</v>
      </c>
      <c r="AN21" s="34">
        <v>0.1</v>
      </c>
      <c r="AO21" s="38">
        <v>1</v>
      </c>
      <c r="AP21" s="34">
        <v>10</v>
      </c>
      <c r="AQ21" s="2">
        <v>144.1</v>
      </c>
      <c r="AR21" s="29">
        <v>0.88</v>
      </c>
      <c r="AS21" s="28">
        <v>0.1</v>
      </c>
      <c r="AT21" s="13">
        <v>1</v>
      </c>
      <c r="AU21" s="29">
        <v>1.3</v>
      </c>
      <c r="AV21" s="2">
        <v>1</v>
      </c>
      <c r="AW21" s="2">
        <v>1</v>
      </c>
    </row>
    <row r="22" spans="1:49" x14ac:dyDescent="0.2">
      <c r="A22" s="3">
        <v>62</v>
      </c>
      <c r="B22" t="s">
        <v>27</v>
      </c>
      <c r="C22" s="2">
        <v>47.5</v>
      </c>
      <c r="D22" s="4">
        <v>2</v>
      </c>
      <c r="E22" s="4">
        <v>2</v>
      </c>
      <c r="F22" s="5">
        <v>2</v>
      </c>
      <c r="G22" s="5">
        <v>27.7</v>
      </c>
      <c r="H22">
        <v>1</v>
      </c>
      <c r="I22" t="s">
        <v>26</v>
      </c>
      <c r="J22" s="2">
        <v>1</v>
      </c>
      <c r="K22">
        <v>1</v>
      </c>
      <c r="M22" s="2">
        <v>0.4</v>
      </c>
      <c r="N22">
        <v>1</v>
      </c>
      <c r="O22">
        <v>2</v>
      </c>
      <c r="P22">
        <v>2</v>
      </c>
      <c r="Q22">
        <v>2</v>
      </c>
      <c r="R22">
        <v>2</v>
      </c>
      <c r="S22">
        <v>2</v>
      </c>
      <c r="T22" s="1"/>
      <c r="U22" s="1"/>
      <c r="V22" s="13"/>
      <c r="W22" s="1"/>
      <c r="Y22" s="4"/>
      <c r="Z22">
        <v>1</v>
      </c>
      <c r="AA22">
        <v>0</v>
      </c>
      <c r="AB22">
        <v>1</v>
      </c>
      <c r="AC22" s="2">
        <v>1</v>
      </c>
      <c r="AD22" s="19"/>
      <c r="AE22" s="2">
        <v>1</v>
      </c>
      <c r="AF22" s="2">
        <v>1</v>
      </c>
      <c r="AG22" s="13">
        <v>6.5</v>
      </c>
      <c r="AH22" s="15">
        <v>0.1</v>
      </c>
      <c r="AI22" s="4">
        <v>1</v>
      </c>
      <c r="AJ22" s="24">
        <v>10</v>
      </c>
      <c r="AK22" s="2">
        <v>0</v>
      </c>
      <c r="AL22" s="1"/>
      <c r="AM22" s="26"/>
      <c r="AN22" s="29"/>
      <c r="AO22" s="39"/>
      <c r="AP22" s="28"/>
      <c r="AQ22" s="2">
        <v>74.3</v>
      </c>
      <c r="AR22" s="29">
        <v>2.46</v>
      </c>
      <c r="AS22" s="28">
        <v>0.1</v>
      </c>
      <c r="AT22" s="13">
        <v>1</v>
      </c>
      <c r="AU22" s="29">
        <v>1.3</v>
      </c>
      <c r="AV22" s="2">
        <v>1</v>
      </c>
      <c r="AW22" s="2">
        <v>1</v>
      </c>
    </row>
    <row r="23" spans="1:49" x14ac:dyDescent="0.2">
      <c r="A23" s="3">
        <v>405</v>
      </c>
      <c r="B23" t="s">
        <v>27</v>
      </c>
      <c r="C23" s="2">
        <v>47.8</v>
      </c>
      <c r="D23" s="4">
        <v>2</v>
      </c>
      <c r="E23" s="4">
        <v>2</v>
      </c>
      <c r="F23" s="5">
        <v>1</v>
      </c>
      <c r="G23" s="5"/>
      <c r="H23">
        <v>2</v>
      </c>
      <c r="I23" t="s">
        <v>26</v>
      </c>
      <c r="J23" s="2">
        <v>1</v>
      </c>
      <c r="K23">
        <v>1</v>
      </c>
      <c r="M23" s="2">
        <v>0.4</v>
      </c>
      <c r="N23">
        <v>2</v>
      </c>
      <c r="O23">
        <v>2</v>
      </c>
      <c r="P23">
        <v>2</v>
      </c>
      <c r="Q23">
        <v>2</v>
      </c>
      <c r="R23">
        <v>2</v>
      </c>
      <c r="S23">
        <v>1</v>
      </c>
      <c r="T23" s="3">
        <v>30</v>
      </c>
      <c r="U23" s="3">
        <v>2</v>
      </c>
      <c r="V23" s="13">
        <v>6.67</v>
      </c>
      <c r="W23" s="2">
        <v>2.5</v>
      </c>
      <c r="X23">
        <v>2</v>
      </c>
      <c r="Y23" s="4">
        <v>2</v>
      </c>
      <c r="Z23">
        <v>1</v>
      </c>
      <c r="AA23">
        <v>2</v>
      </c>
      <c r="AB23">
        <v>1</v>
      </c>
      <c r="AC23" s="2">
        <v>1</v>
      </c>
      <c r="AD23" s="19"/>
      <c r="AE23" s="2">
        <v>2</v>
      </c>
      <c r="AF23" s="2">
        <v>3</v>
      </c>
      <c r="AG23" s="13"/>
      <c r="AH23" s="15">
        <v>0.24</v>
      </c>
      <c r="AI23" s="4">
        <v>1</v>
      </c>
      <c r="AJ23" s="15">
        <v>2</v>
      </c>
      <c r="AK23" s="2">
        <v>1</v>
      </c>
      <c r="AL23" s="3">
        <v>30</v>
      </c>
      <c r="AM23" s="26">
        <v>49.81</v>
      </c>
      <c r="AN23" s="29">
        <v>3.79</v>
      </c>
      <c r="AO23" s="38">
        <v>1</v>
      </c>
      <c r="AP23" s="34">
        <f>1.3/2</f>
        <v>0.65</v>
      </c>
      <c r="AQ23" s="2">
        <v>11.5</v>
      </c>
      <c r="AR23" s="29">
        <v>0.04</v>
      </c>
      <c r="AS23" s="28">
        <v>0.1</v>
      </c>
      <c r="AT23" s="13">
        <v>1</v>
      </c>
      <c r="AU23" s="29">
        <v>1.3</v>
      </c>
      <c r="AV23" s="2">
        <v>1</v>
      </c>
      <c r="AW23" s="2">
        <v>1</v>
      </c>
    </row>
    <row r="24" spans="1:49" x14ac:dyDescent="0.2">
      <c r="A24" s="3">
        <v>188</v>
      </c>
      <c r="B24" t="s">
        <v>25</v>
      </c>
      <c r="C24" s="2">
        <v>40.4</v>
      </c>
      <c r="D24" s="4">
        <v>2</v>
      </c>
      <c r="E24" s="4">
        <v>2</v>
      </c>
      <c r="F24" s="5">
        <v>1</v>
      </c>
      <c r="G24" s="5">
        <v>25.7</v>
      </c>
      <c r="H24">
        <v>1</v>
      </c>
      <c r="I24" t="s">
        <v>26</v>
      </c>
      <c r="J24" s="2">
        <v>1</v>
      </c>
      <c r="K24">
        <v>1</v>
      </c>
      <c r="M24" s="2">
        <v>0.8</v>
      </c>
      <c r="N24">
        <v>1</v>
      </c>
      <c r="O24">
        <v>2</v>
      </c>
      <c r="P24">
        <v>2</v>
      </c>
      <c r="Q24">
        <v>2</v>
      </c>
      <c r="R24">
        <v>2</v>
      </c>
      <c r="S24">
        <v>2</v>
      </c>
      <c r="T24" s="1"/>
      <c r="U24" s="1"/>
      <c r="V24" s="13"/>
      <c r="W24" s="1"/>
      <c r="Y24" s="4">
        <v>2</v>
      </c>
      <c r="Z24">
        <v>1</v>
      </c>
      <c r="AA24">
        <v>0</v>
      </c>
      <c r="AB24">
        <v>1</v>
      </c>
      <c r="AC24" s="2">
        <v>1</v>
      </c>
      <c r="AD24" s="19"/>
      <c r="AE24" s="2">
        <v>1</v>
      </c>
      <c r="AF24" s="2">
        <v>1</v>
      </c>
      <c r="AG24" s="13">
        <v>1.02</v>
      </c>
      <c r="AH24" s="15">
        <v>0.1</v>
      </c>
      <c r="AI24" s="4">
        <v>1</v>
      </c>
      <c r="AJ24" s="24">
        <v>10</v>
      </c>
      <c r="AK24" s="2">
        <v>0</v>
      </c>
      <c r="AL24" s="1"/>
      <c r="AM24" s="26"/>
      <c r="AN24" s="29"/>
      <c r="AO24" s="39"/>
      <c r="AP24" s="28"/>
      <c r="AQ24" s="2">
        <v>42</v>
      </c>
      <c r="AR24" s="29">
        <v>1.1599999999999999</v>
      </c>
      <c r="AS24" s="28">
        <v>0.66</v>
      </c>
      <c r="AT24" s="13">
        <v>1</v>
      </c>
      <c r="AU24" s="29">
        <v>1.3</v>
      </c>
      <c r="AV24" s="2">
        <v>1</v>
      </c>
      <c r="AW24" s="2">
        <v>1</v>
      </c>
    </row>
    <row r="25" spans="1:49" x14ac:dyDescent="0.2">
      <c r="A25" s="3">
        <v>117</v>
      </c>
      <c r="B25" t="s">
        <v>25</v>
      </c>
      <c r="C25" s="2">
        <v>68.7</v>
      </c>
      <c r="D25" s="4">
        <v>2</v>
      </c>
      <c r="E25" s="4">
        <v>2</v>
      </c>
      <c r="F25" s="5">
        <v>1</v>
      </c>
      <c r="G25" s="5">
        <v>21.6</v>
      </c>
      <c r="H25">
        <v>1</v>
      </c>
      <c r="I25" t="s">
        <v>26</v>
      </c>
      <c r="J25" s="2">
        <v>3</v>
      </c>
      <c r="M25" s="2">
        <v>4</v>
      </c>
      <c r="N25">
        <v>1</v>
      </c>
      <c r="O25">
        <v>2</v>
      </c>
      <c r="P25">
        <v>2</v>
      </c>
      <c r="Q25">
        <v>2</v>
      </c>
      <c r="T25" s="1"/>
      <c r="U25" s="1"/>
      <c r="V25" s="13"/>
      <c r="W25" s="1"/>
      <c r="Y25" s="4">
        <v>2</v>
      </c>
      <c r="Z25">
        <v>2</v>
      </c>
      <c r="AA25">
        <v>0</v>
      </c>
      <c r="AB25">
        <v>1</v>
      </c>
      <c r="AC25" s="2">
        <v>1</v>
      </c>
      <c r="AD25" s="6">
        <v>0</v>
      </c>
      <c r="AE25" s="2">
        <v>1</v>
      </c>
      <c r="AF25" s="2">
        <v>1</v>
      </c>
      <c r="AG25" s="13">
        <v>0.17</v>
      </c>
      <c r="AH25" s="24">
        <v>0.1</v>
      </c>
      <c r="AI25" s="4">
        <v>1</v>
      </c>
      <c r="AJ25" s="24">
        <v>10</v>
      </c>
      <c r="AK25" s="2">
        <v>0</v>
      </c>
      <c r="AL25" s="1"/>
      <c r="AM25" s="26"/>
      <c r="AN25" s="29"/>
      <c r="AO25" s="39"/>
      <c r="AP25" s="28"/>
      <c r="AQ25" s="2">
        <v>68.2</v>
      </c>
      <c r="AR25" s="29">
        <v>1.52</v>
      </c>
      <c r="AS25" s="28">
        <v>0.1</v>
      </c>
      <c r="AT25" s="13">
        <v>1</v>
      </c>
      <c r="AU25" s="29">
        <v>1.3</v>
      </c>
      <c r="AV25" s="2">
        <v>1</v>
      </c>
      <c r="AW25" s="2">
        <v>1</v>
      </c>
    </row>
    <row r="26" spans="1:49" x14ac:dyDescent="0.2">
      <c r="A26" s="3">
        <v>161</v>
      </c>
      <c r="B26" t="s">
        <v>25</v>
      </c>
      <c r="C26" s="2">
        <v>40.200000000000003</v>
      </c>
      <c r="D26" s="4">
        <v>2</v>
      </c>
      <c r="E26" s="4">
        <v>1</v>
      </c>
      <c r="F26" s="5">
        <v>2</v>
      </c>
      <c r="G26" s="5">
        <v>41.4</v>
      </c>
      <c r="H26">
        <v>1</v>
      </c>
      <c r="I26" t="s">
        <v>26</v>
      </c>
      <c r="J26" s="2">
        <v>1</v>
      </c>
      <c r="K26">
        <v>1</v>
      </c>
      <c r="M26" s="2">
        <v>0.8</v>
      </c>
      <c r="N26">
        <v>1</v>
      </c>
      <c r="O26">
        <v>1</v>
      </c>
      <c r="P26">
        <v>1</v>
      </c>
      <c r="Q26">
        <v>2</v>
      </c>
      <c r="R26">
        <v>2</v>
      </c>
      <c r="S26">
        <v>2</v>
      </c>
      <c r="T26" s="1"/>
      <c r="U26" s="1"/>
      <c r="V26" s="13"/>
      <c r="W26" s="1"/>
      <c r="Y26" s="4">
        <v>1</v>
      </c>
      <c r="Z26">
        <v>1</v>
      </c>
      <c r="AA26">
        <v>0</v>
      </c>
      <c r="AB26">
        <v>1</v>
      </c>
      <c r="AC26" s="2">
        <v>1</v>
      </c>
      <c r="AD26" s="19"/>
      <c r="AE26" s="2">
        <v>1</v>
      </c>
      <c r="AF26" s="2">
        <v>3</v>
      </c>
      <c r="AG26" s="13">
        <v>5.59</v>
      </c>
      <c r="AH26" s="24">
        <v>0.1</v>
      </c>
      <c r="AI26" s="4">
        <v>1</v>
      </c>
      <c r="AJ26" s="24">
        <v>10</v>
      </c>
      <c r="AK26" s="2">
        <v>0</v>
      </c>
      <c r="AL26" s="1"/>
      <c r="AM26" s="26"/>
      <c r="AN26" s="29"/>
      <c r="AO26" s="39"/>
      <c r="AP26" s="28"/>
      <c r="AQ26" s="2">
        <v>87.8</v>
      </c>
      <c r="AR26" s="29">
        <v>7.91</v>
      </c>
      <c r="AS26" s="28">
        <v>0.38</v>
      </c>
      <c r="AT26" s="13">
        <v>1</v>
      </c>
      <c r="AU26" s="29">
        <v>1.3</v>
      </c>
      <c r="AV26" s="2">
        <v>2</v>
      </c>
      <c r="AW26" s="2">
        <v>1</v>
      </c>
    </row>
    <row r="27" spans="1:49" x14ac:dyDescent="0.2">
      <c r="A27" s="3">
        <v>269</v>
      </c>
      <c r="B27" t="s">
        <v>27</v>
      </c>
      <c r="C27" s="2">
        <v>54.3</v>
      </c>
      <c r="D27" s="4">
        <v>2</v>
      </c>
      <c r="E27" s="4">
        <v>2</v>
      </c>
      <c r="F27" s="5">
        <v>1</v>
      </c>
      <c r="G27" s="5">
        <v>32.700000000000003</v>
      </c>
      <c r="H27">
        <v>1</v>
      </c>
      <c r="I27" t="s">
        <v>26</v>
      </c>
      <c r="J27" s="2">
        <v>1</v>
      </c>
      <c r="K27">
        <v>3</v>
      </c>
      <c r="M27" s="2">
        <v>0.8</v>
      </c>
      <c r="N27">
        <v>1</v>
      </c>
      <c r="O27">
        <v>2</v>
      </c>
      <c r="P27">
        <v>2</v>
      </c>
      <c r="Q27">
        <v>2</v>
      </c>
      <c r="R27">
        <v>2</v>
      </c>
      <c r="S27">
        <v>2</v>
      </c>
      <c r="T27" s="1"/>
      <c r="U27" s="1"/>
      <c r="V27" s="13"/>
      <c r="W27" s="1"/>
      <c r="Y27" s="4">
        <v>1</v>
      </c>
      <c r="Z27">
        <v>1</v>
      </c>
      <c r="AA27">
        <v>0</v>
      </c>
      <c r="AB27">
        <v>1</v>
      </c>
      <c r="AC27" s="2">
        <v>1</v>
      </c>
      <c r="AD27" s="19"/>
      <c r="AE27" s="2">
        <v>1</v>
      </c>
      <c r="AF27" s="2">
        <v>1</v>
      </c>
      <c r="AG27" s="13">
        <v>52</v>
      </c>
      <c r="AH27" s="15">
        <v>0.1</v>
      </c>
      <c r="AI27" s="4">
        <v>1</v>
      </c>
      <c r="AJ27" s="24">
        <v>10</v>
      </c>
      <c r="AK27" s="2">
        <v>0</v>
      </c>
      <c r="AL27" s="1"/>
      <c r="AM27" s="26"/>
      <c r="AN27" s="29"/>
      <c r="AO27" s="39"/>
      <c r="AP27" s="29"/>
      <c r="AQ27" s="2">
        <v>143.1</v>
      </c>
      <c r="AR27" s="29">
        <v>3.34</v>
      </c>
      <c r="AS27" s="34">
        <f>0.1/2</f>
        <v>0.05</v>
      </c>
      <c r="AT27" s="13">
        <v>1</v>
      </c>
      <c r="AU27" s="29">
        <v>1.3</v>
      </c>
      <c r="AV27" s="2">
        <v>1</v>
      </c>
      <c r="AW27" s="2">
        <v>1</v>
      </c>
    </row>
    <row r="28" spans="1:49" x14ac:dyDescent="0.2">
      <c r="A28" s="3">
        <v>326</v>
      </c>
      <c r="B28" t="s">
        <v>25</v>
      </c>
      <c r="C28" s="2">
        <v>44.2</v>
      </c>
      <c r="D28" s="4">
        <v>2</v>
      </c>
      <c r="E28" s="4">
        <v>2</v>
      </c>
      <c r="F28" s="5">
        <v>1</v>
      </c>
      <c r="G28" s="5">
        <v>35.1</v>
      </c>
      <c r="H28">
        <v>1</v>
      </c>
      <c r="I28" t="s">
        <v>26</v>
      </c>
      <c r="J28" s="2">
        <v>1</v>
      </c>
      <c r="K28">
        <v>1</v>
      </c>
      <c r="M28" s="2">
        <v>1.3</v>
      </c>
      <c r="N28">
        <v>1</v>
      </c>
      <c r="O28">
        <v>1</v>
      </c>
      <c r="P28">
        <v>1</v>
      </c>
      <c r="Q28">
        <v>2</v>
      </c>
      <c r="R28">
        <v>2</v>
      </c>
      <c r="S28">
        <v>2</v>
      </c>
      <c r="T28" s="1"/>
      <c r="U28" s="1"/>
      <c r="V28" s="13"/>
      <c r="W28" s="1"/>
      <c r="Y28" s="4">
        <v>1</v>
      </c>
      <c r="Z28">
        <v>1</v>
      </c>
      <c r="AA28">
        <v>0</v>
      </c>
      <c r="AB28">
        <v>1</v>
      </c>
      <c r="AC28" s="2">
        <v>1</v>
      </c>
      <c r="AD28" s="19"/>
      <c r="AE28" s="2">
        <v>1</v>
      </c>
      <c r="AF28" s="2">
        <v>3</v>
      </c>
      <c r="AG28" s="13">
        <v>0.02</v>
      </c>
      <c r="AH28" s="24">
        <v>0.1</v>
      </c>
      <c r="AI28" s="4">
        <v>1</v>
      </c>
      <c r="AJ28" s="24">
        <v>10</v>
      </c>
      <c r="AK28" s="2">
        <v>0</v>
      </c>
      <c r="AL28" s="1"/>
      <c r="AM28" s="26"/>
      <c r="AN28" s="29"/>
      <c r="AO28" s="39"/>
      <c r="AP28" s="28"/>
      <c r="AQ28" s="2">
        <v>124.8</v>
      </c>
      <c r="AR28" s="29">
        <v>0.06</v>
      </c>
      <c r="AS28" s="28">
        <v>0.1</v>
      </c>
      <c r="AT28" s="13">
        <v>1</v>
      </c>
      <c r="AU28" s="29">
        <v>1.3</v>
      </c>
      <c r="AV28" s="2">
        <v>1</v>
      </c>
      <c r="AW28" s="2">
        <v>1</v>
      </c>
    </row>
    <row r="29" spans="1:49" x14ac:dyDescent="0.2">
      <c r="A29" s="3">
        <v>392</v>
      </c>
      <c r="B29" t="s">
        <v>27</v>
      </c>
      <c r="C29" s="2">
        <v>67.2</v>
      </c>
      <c r="D29" s="4">
        <v>2</v>
      </c>
      <c r="E29" s="4">
        <v>2</v>
      </c>
      <c r="F29" s="5">
        <v>1</v>
      </c>
      <c r="G29" s="5">
        <v>33.4</v>
      </c>
      <c r="H29">
        <v>1</v>
      </c>
      <c r="I29" t="s">
        <v>26</v>
      </c>
      <c r="J29" s="2">
        <v>1</v>
      </c>
      <c r="K29">
        <v>1</v>
      </c>
      <c r="M29" s="2">
        <v>2.1</v>
      </c>
      <c r="N29">
        <v>1</v>
      </c>
      <c r="O29">
        <v>1</v>
      </c>
      <c r="P29">
        <v>1</v>
      </c>
      <c r="Q29">
        <v>2</v>
      </c>
      <c r="R29">
        <v>2</v>
      </c>
      <c r="S29">
        <v>2</v>
      </c>
      <c r="T29" s="1"/>
      <c r="U29" s="1"/>
      <c r="V29" s="13"/>
      <c r="W29" s="1"/>
      <c r="Y29" s="4">
        <v>2</v>
      </c>
      <c r="Z29">
        <v>2</v>
      </c>
      <c r="AA29">
        <v>0</v>
      </c>
      <c r="AB29">
        <v>1</v>
      </c>
      <c r="AC29" s="2">
        <v>1</v>
      </c>
      <c r="AD29" s="19"/>
      <c r="AE29" s="2">
        <v>1</v>
      </c>
      <c r="AF29" s="2">
        <v>3</v>
      </c>
      <c r="AG29" s="13">
        <v>1.91</v>
      </c>
      <c r="AH29" s="13">
        <v>0.1</v>
      </c>
      <c r="AI29" s="4">
        <v>1</v>
      </c>
      <c r="AJ29" s="24">
        <v>10</v>
      </c>
      <c r="AK29" s="2">
        <v>0</v>
      </c>
      <c r="AL29" s="1"/>
      <c r="AM29" s="26"/>
      <c r="AN29" s="29"/>
      <c r="AO29" s="39"/>
      <c r="AP29" s="28"/>
      <c r="AQ29" s="2">
        <v>34.299999999999997</v>
      </c>
      <c r="AR29" s="29">
        <v>0.35</v>
      </c>
      <c r="AS29" s="28">
        <v>0.1</v>
      </c>
      <c r="AT29" s="13">
        <v>1</v>
      </c>
      <c r="AU29" s="29">
        <v>1.3</v>
      </c>
      <c r="AV29" s="2">
        <v>1</v>
      </c>
      <c r="AW29" s="2">
        <v>1</v>
      </c>
    </row>
    <row r="30" spans="1:49" x14ac:dyDescent="0.2">
      <c r="A30" s="3">
        <v>39</v>
      </c>
      <c r="B30" t="s">
        <v>25</v>
      </c>
      <c r="C30" s="2">
        <v>46</v>
      </c>
      <c r="D30" s="4">
        <v>2</v>
      </c>
      <c r="E30" s="4">
        <v>2</v>
      </c>
      <c r="F30" s="5">
        <v>1</v>
      </c>
      <c r="G30" s="5">
        <v>35.4</v>
      </c>
      <c r="H30">
        <v>1</v>
      </c>
      <c r="I30" t="s">
        <v>26</v>
      </c>
      <c r="J30" s="2">
        <v>1</v>
      </c>
      <c r="K30">
        <v>3</v>
      </c>
      <c r="M30" s="2">
        <v>0.4</v>
      </c>
      <c r="N30">
        <v>1</v>
      </c>
      <c r="O30">
        <v>2</v>
      </c>
      <c r="P30">
        <v>2</v>
      </c>
      <c r="Q30">
        <v>2</v>
      </c>
      <c r="R30">
        <v>2</v>
      </c>
      <c r="S30">
        <v>2</v>
      </c>
      <c r="T30" s="1"/>
      <c r="U30" s="1"/>
      <c r="V30" s="13"/>
      <c r="W30" s="1"/>
      <c r="Y30" s="4">
        <v>2</v>
      </c>
      <c r="Z30">
        <v>1</v>
      </c>
      <c r="AA30">
        <v>0</v>
      </c>
      <c r="AB30">
        <v>1</v>
      </c>
      <c r="AC30" s="2">
        <v>1</v>
      </c>
      <c r="AD30" s="19"/>
      <c r="AE30" s="2">
        <v>1</v>
      </c>
      <c r="AF30" s="2">
        <v>1</v>
      </c>
      <c r="AG30" s="13">
        <v>1.76</v>
      </c>
      <c r="AH30" s="24">
        <v>0.1</v>
      </c>
      <c r="AI30" s="4">
        <v>1</v>
      </c>
      <c r="AJ30" s="24">
        <v>10</v>
      </c>
      <c r="AK30" s="2">
        <v>0</v>
      </c>
      <c r="AL30" s="1"/>
      <c r="AM30" s="26"/>
      <c r="AN30" s="28"/>
      <c r="AO30" s="39"/>
      <c r="AP30" s="28"/>
      <c r="AQ30" s="2">
        <v>93.4</v>
      </c>
      <c r="AR30" s="29">
        <v>1.46</v>
      </c>
      <c r="AS30" s="28">
        <v>0.1</v>
      </c>
      <c r="AT30" s="13">
        <v>1</v>
      </c>
      <c r="AU30" s="29">
        <v>20</v>
      </c>
      <c r="AV30" s="2">
        <v>1</v>
      </c>
      <c r="AW30" s="2">
        <v>1</v>
      </c>
    </row>
    <row r="31" spans="1:49" x14ac:dyDescent="0.2">
      <c r="A31" s="3">
        <v>82</v>
      </c>
      <c r="B31" t="s">
        <v>25</v>
      </c>
      <c r="C31" s="2">
        <v>37.299999999999997</v>
      </c>
      <c r="D31" s="4">
        <v>2</v>
      </c>
      <c r="E31" s="4">
        <v>2</v>
      </c>
      <c r="F31" s="5">
        <v>1</v>
      </c>
      <c r="G31" s="5">
        <v>25.4</v>
      </c>
      <c r="H31">
        <v>1</v>
      </c>
      <c r="I31" t="s">
        <v>26</v>
      </c>
      <c r="J31" s="2">
        <v>3</v>
      </c>
      <c r="M31" s="2">
        <v>8</v>
      </c>
      <c r="N31">
        <v>1</v>
      </c>
      <c r="O31">
        <v>2</v>
      </c>
      <c r="P31">
        <v>2</v>
      </c>
      <c r="Q31">
        <v>2</v>
      </c>
      <c r="R31">
        <v>2</v>
      </c>
      <c r="T31" s="1"/>
      <c r="U31" s="1"/>
      <c r="V31" s="13"/>
      <c r="W31" s="1"/>
      <c r="Y31" s="4">
        <v>1</v>
      </c>
      <c r="Z31">
        <v>3</v>
      </c>
      <c r="AA31">
        <v>3</v>
      </c>
      <c r="AB31">
        <v>1</v>
      </c>
      <c r="AC31" s="2">
        <v>1</v>
      </c>
      <c r="AD31" s="19"/>
      <c r="AE31" s="2">
        <v>1</v>
      </c>
      <c r="AF31" s="2">
        <v>2</v>
      </c>
      <c r="AG31" s="13">
        <v>1.52</v>
      </c>
      <c r="AH31" s="24">
        <v>0.1</v>
      </c>
      <c r="AI31" s="4">
        <v>1</v>
      </c>
      <c r="AJ31" s="24">
        <v>10</v>
      </c>
      <c r="AK31" s="2">
        <v>0</v>
      </c>
      <c r="AL31" s="1"/>
      <c r="AM31" s="26"/>
      <c r="AN31" s="29"/>
      <c r="AO31" s="39"/>
      <c r="AP31" s="28"/>
      <c r="AQ31" s="2">
        <v>35.200000000000003</v>
      </c>
      <c r="AR31" s="29">
        <v>1.34</v>
      </c>
      <c r="AS31" s="28">
        <v>3.4</v>
      </c>
      <c r="AT31" s="13">
        <v>1</v>
      </c>
      <c r="AU31" s="29">
        <v>20</v>
      </c>
      <c r="AV31" s="2">
        <v>1</v>
      </c>
      <c r="AW31" s="2">
        <v>1</v>
      </c>
    </row>
    <row r="32" spans="1:49" x14ac:dyDescent="0.2">
      <c r="A32" s="3">
        <v>103</v>
      </c>
      <c r="B32" t="s">
        <v>27</v>
      </c>
      <c r="C32" s="2">
        <v>71.400000000000006</v>
      </c>
      <c r="D32" s="4">
        <v>2</v>
      </c>
      <c r="E32" s="4">
        <v>2</v>
      </c>
      <c r="F32" s="5">
        <v>1</v>
      </c>
      <c r="G32" s="5">
        <v>24.2</v>
      </c>
      <c r="H32">
        <v>1</v>
      </c>
      <c r="I32" t="s">
        <v>26</v>
      </c>
      <c r="J32" s="2">
        <v>1</v>
      </c>
      <c r="K32">
        <v>10</v>
      </c>
      <c r="M32" s="2">
        <v>0.6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 s="1"/>
      <c r="U32" s="1"/>
      <c r="V32" s="13"/>
      <c r="W32" s="1"/>
      <c r="Y32" s="4">
        <v>2</v>
      </c>
      <c r="Z32">
        <v>1</v>
      </c>
      <c r="AA32">
        <v>0</v>
      </c>
      <c r="AB32">
        <v>1</v>
      </c>
      <c r="AC32" s="2">
        <v>1</v>
      </c>
      <c r="AD32" s="19"/>
      <c r="AE32" s="2">
        <v>2</v>
      </c>
      <c r="AF32" s="2">
        <v>2</v>
      </c>
      <c r="AG32" s="13">
        <v>2.9</v>
      </c>
      <c r="AH32" s="24">
        <v>0.1</v>
      </c>
      <c r="AI32" s="4">
        <v>1</v>
      </c>
      <c r="AJ32" s="24">
        <v>10</v>
      </c>
      <c r="AK32" s="2">
        <v>0</v>
      </c>
      <c r="AL32" s="1"/>
      <c r="AM32" s="26"/>
      <c r="AN32" s="28"/>
      <c r="AO32" s="39"/>
      <c r="AP32" s="29"/>
      <c r="AQ32" s="2">
        <v>60.4</v>
      </c>
      <c r="AR32" s="29">
        <v>0.34</v>
      </c>
      <c r="AS32" s="34">
        <v>0.1</v>
      </c>
      <c r="AT32" s="13">
        <v>1</v>
      </c>
      <c r="AU32" s="29">
        <v>20</v>
      </c>
      <c r="AV32" s="2">
        <v>1</v>
      </c>
      <c r="AW32" s="2">
        <v>1</v>
      </c>
    </row>
    <row r="33" spans="1:49" x14ac:dyDescent="0.2">
      <c r="A33" s="3">
        <v>111</v>
      </c>
      <c r="B33" t="s">
        <v>25</v>
      </c>
      <c r="C33" s="2">
        <v>23.1</v>
      </c>
      <c r="D33" s="4">
        <v>1</v>
      </c>
      <c r="E33" s="4">
        <v>2</v>
      </c>
      <c r="F33" s="5">
        <v>1</v>
      </c>
      <c r="G33" s="5">
        <v>26.6</v>
      </c>
      <c r="H33">
        <v>1</v>
      </c>
      <c r="I33" t="s">
        <v>26</v>
      </c>
      <c r="J33" s="2">
        <v>1</v>
      </c>
      <c r="K33">
        <v>4</v>
      </c>
      <c r="M33" s="2">
        <v>1</v>
      </c>
      <c r="N33">
        <v>1</v>
      </c>
      <c r="O33">
        <v>2</v>
      </c>
      <c r="P33">
        <v>2</v>
      </c>
      <c r="Q33">
        <v>2</v>
      </c>
      <c r="R33">
        <v>2</v>
      </c>
      <c r="S33">
        <v>2</v>
      </c>
      <c r="T33" s="1"/>
      <c r="U33" s="1"/>
      <c r="V33" s="13"/>
      <c r="W33" s="1"/>
      <c r="Y33" s="4">
        <v>2</v>
      </c>
      <c r="Z33">
        <v>1</v>
      </c>
      <c r="AA33">
        <v>0</v>
      </c>
      <c r="AB33">
        <v>1</v>
      </c>
      <c r="AC33" s="2">
        <v>1</v>
      </c>
      <c r="AD33" s="19"/>
      <c r="AE33" s="2">
        <v>1</v>
      </c>
      <c r="AF33" s="2">
        <v>1</v>
      </c>
      <c r="AG33" s="13">
        <v>0.85</v>
      </c>
      <c r="AH33" s="24">
        <v>0.1</v>
      </c>
      <c r="AI33" s="4">
        <v>1</v>
      </c>
      <c r="AJ33" s="24">
        <v>10</v>
      </c>
      <c r="AK33" s="2">
        <v>0</v>
      </c>
      <c r="AL33" s="1"/>
      <c r="AM33" s="26"/>
      <c r="AN33" s="29"/>
      <c r="AO33" s="39"/>
      <c r="AP33" s="28"/>
      <c r="AQ33" s="2">
        <v>36.299999999999997</v>
      </c>
      <c r="AR33" s="29">
        <v>0.33</v>
      </c>
      <c r="AS33" s="34">
        <f>0.1/2</f>
        <v>0.05</v>
      </c>
      <c r="AT33" s="13">
        <v>1</v>
      </c>
      <c r="AU33" s="29">
        <v>20</v>
      </c>
      <c r="AV33" s="2">
        <v>1</v>
      </c>
      <c r="AW33" s="2">
        <v>1</v>
      </c>
    </row>
    <row r="34" spans="1:49" x14ac:dyDescent="0.2">
      <c r="A34" s="3">
        <v>113</v>
      </c>
      <c r="B34" t="s">
        <v>25</v>
      </c>
      <c r="C34" s="2">
        <v>61</v>
      </c>
      <c r="D34" s="4">
        <v>2</v>
      </c>
      <c r="E34" s="4">
        <v>2</v>
      </c>
      <c r="F34" s="5">
        <v>1</v>
      </c>
      <c r="G34" s="5">
        <v>24.4</v>
      </c>
      <c r="H34">
        <v>1</v>
      </c>
      <c r="I34" t="s">
        <v>26</v>
      </c>
      <c r="J34" s="2">
        <v>1</v>
      </c>
      <c r="K34">
        <v>3</v>
      </c>
      <c r="M34" s="2">
        <v>0.8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 s="1"/>
      <c r="U34" s="1"/>
      <c r="V34" s="13"/>
      <c r="W34" s="1"/>
      <c r="Y34" s="10"/>
      <c r="Z34">
        <v>1</v>
      </c>
      <c r="AA34">
        <v>0</v>
      </c>
      <c r="AB34">
        <v>1</v>
      </c>
      <c r="AC34" s="2">
        <v>1</v>
      </c>
      <c r="AD34" s="19"/>
      <c r="AE34" s="2">
        <v>2</v>
      </c>
      <c r="AF34" s="2">
        <v>2</v>
      </c>
      <c r="AG34" s="13">
        <v>42</v>
      </c>
      <c r="AH34" s="13">
        <v>0.1</v>
      </c>
      <c r="AI34" s="4">
        <v>1</v>
      </c>
      <c r="AJ34" s="24">
        <v>10</v>
      </c>
      <c r="AK34" s="2">
        <v>0</v>
      </c>
      <c r="AL34" s="1"/>
      <c r="AM34" s="26"/>
      <c r="AN34" s="29"/>
      <c r="AO34" s="39"/>
      <c r="AP34" s="28"/>
      <c r="AQ34" s="2">
        <v>102.5</v>
      </c>
      <c r="AR34" s="29">
        <v>0.27</v>
      </c>
      <c r="AS34" s="28">
        <v>0.1</v>
      </c>
      <c r="AT34" s="13">
        <v>1</v>
      </c>
      <c r="AU34" s="29">
        <v>20</v>
      </c>
      <c r="AV34" s="2">
        <v>1</v>
      </c>
      <c r="AW34" s="2">
        <v>1</v>
      </c>
    </row>
    <row r="35" spans="1:49" x14ac:dyDescent="0.2">
      <c r="A35" s="3">
        <v>114</v>
      </c>
      <c r="B35" t="s">
        <v>25</v>
      </c>
      <c r="C35" s="2">
        <v>35.5</v>
      </c>
      <c r="D35" s="4">
        <v>2</v>
      </c>
      <c r="E35" s="4">
        <v>1</v>
      </c>
      <c r="F35" s="5">
        <v>1</v>
      </c>
      <c r="G35" s="5">
        <v>30.7</v>
      </c>
      <c r="H35">
        <v>1</v>
      </c>
      <c r="I35" t="s">
        <v>26</v>
      </c>
      <c r="J35" s="2">
        <v>1</v>
      </c>
      <c r="K35">
        <v>3</v>
      </c>
      <c r="M35" s="2">
        <v>0.8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 s="1"/>
      <c r="U35" s="1"/>
      <c r="V35" s="13"/>
      <c r="W35" s="1"/>
      <c r="Y35" s="4">
        <v>1</v>
      </c>
      <c r="Z35">
        <v>1</v>
      </c>
      <c r="AA35">
        <v>0</v>
      </c>
      <c r="AB35">
        <v>1</v>
      </c>
      <c r="AC35" s="2">
        <v>1</v>
      </c>
      <c r="AD35" s="19"/>
      <c r="AE35" s="2">
        <v>2</v>
      </c>
      <c r="AF35" s="2">
        <v>2</v>
      </c>
      <c r="AG35" s="13">
        <v>1.1499999999999999</v>
      </c>
      <c r="AH35" s="24">
        <v>0.1</v>
      </c>
      <c r="AI35" s="4">
        <v>1</v>
      </c>
      <c r="AJ35" s="24">
        <v>10</v>
      </c>
      <c r="AK35" s="2">
        <v>0</v>
      </c>
      <c r="AL35" s="1"/>
      <c r="AM35" s="26"/>
      <c r="AN35" s="29"/>
      <c r="AO35" s="39"/>
      <c r="AP35" s="28"/>
      <c r="AQ35" s="2">
        <v>70.599999999999994</v>
      </c>
      <c r="AR35" s="29" t="s">
        <v>30</v>
      </c>
      <c r="AS35" s="28">
        <v>3.2</v>
      </c>
      <c r="AT35" s="13">
        <v>1</v>
      </c>
      <c r="AU35" s="29">
        <v>20</v>
      </c>
      <c r="AV35" s="2">
        <v>2</v>
      </c>
      <c r="AW35" s="2">
        <v>2</v>
      </c>
    </row>
    <row r="36" spans="1:49" x14ac:dyDescent="0.2">
      <c r="A36" s="3">
        <v>174</v>
      </c>
      <c r="B36" t="s">
        <v>25</v>
      </c>
      <c r="C36" s="2">
        <v>55.6</v>
      </c>
      <c r="D36" s="4">
        <v>2</v>
      </c>
      <c r="E36" s="4">
        <v>1</v>
      </c>
      <c r="F36" s="5">
        <v>1</v>
      </c>
      <c r="G36" s="5">
        <v>20.3</v>
      </c>
      <c r="H36">
        <v>1</v>
      </c>
      <c r="I36" t="s">
        <v>26</v>
      </c>
      <c r="J36" s="2">
        <v>1</v>
      </c>
      <c r="K36">
        <v>3</v>
      </c>
      <c r="M36" s="2">
        <v>0.3</v>
      </c>
      <c r="N36">
        <v>1</v>
      </c>
      <c r="O36">
        <v>2</v>
      </c>
      <c r="P36">
        <v>2</v>
      </c>
      <c r="Q36">
        <v>2</v>
      </c>
      <c r="R36">
        <v>2</v>
      </c>
      <c r="S36">
        <v>2</v>
      </c>
      <c r="T36" s="1"/>
      <c r="U36" s="1"/>
      <c r="V36" s="13"/>
      <c r="W36" s="1"/>
      <c r="Y36" s="4">
        <v>2</v>
      </c>
      <c r="Z36">
        <v>1</v>
      </c>
      <c r="AA36">
        <v>0</v>
      </c>
      <c r="AB36">
        <v>1</v>
      </c>
      <c r="AC36" s="2">
        <v>1</v>
      </c>
      <c r="AD36" s="19"/>
      <c r="AE36" s="2">
        <v>1</v>
      </c>
      <c r="AF36" s="2">
        <v>1</v>
      </c>
      <c r="AG36" s="13">
        <v>0.56999999999999995</v>
      </c>
      <c r="AH36" s="24">
        <v>0.1</v>
      </c>
      <c r="AI36" s="4">
        <v>1</v>
      </c>
      <c r="AJ36" s="24">
        <v>10</v>
      </c>
      <c r="AK36" s="2">
        <v>0</v>
      </c>
      <c r="AL36" s="1"/>
      <c r="AM36" s="26"/>
      <c r="AN36" s="29"/>
      <c r="AO36" s="39"/>
      <c r="AP36" s="28"/>
      <c r="AQ36" s="2">
        <v>113.3</v>
      </c>
      <c r="AR36" s="29">
        <v>0.17</v>
      </c>
      <c r="AS36" s="28">
        <v>0.69</v>
      </c>
      <c r="AT36" s="13">
        <v>1</v>
      </c>
      <c r="AU36" s="29">
        <v>20</v>
      </c>
      <c r="AV36" s="2">
        <v>2</v>
      </c>
      <c r="AW36" s="2">
        <v>1</v>
      </c>
    </row>
    <row r="37" spans="1:49" x14ac:dyDescent="0.2">
      <c r="A37" s="3">
        <v>177</v>
      </c>
      <c r="B37" t="s">
        <v>25</v>
      </c>
      <c r="C37" s="2">
        <v>36.200000000000003</v>
      </c>
      <c r="D37" s="4">
        <v>2</v>
      </c>
      <c r="E37" s="4">
        <v>2</v>
      </c>
      <c r="F37" s="5">
        <v>1</v>
      </c>
      <c r="G37" s="5">
        <v>32.799999999999997</v>
      </c>
      <c r="H37">
        <v>1</v>
      </c>
      <c r="I37" t="s">
        <v>26</v>
      </c>
      <c r="J37" s="2">
        <v>1</v>
      </c>
      <c r="K37">
        <v>3</v>
      </c>
      <c r="M37" s="2">
        <v>3</v>
      </c>
      <c r="N37">
        <v>1</v>
      </c>
      <c r="O37">
        <v>1</v>
      </c>
      <c r="P37">
        <v>1</v>
      </c>
      <c r="Q37">
        <v>1</v>
      </c>
      <c r="R37">
        <v>2</v>
      </c>
      <c r="S37">
        <v>2</v>
      </c>
      <c r="T37" s="1"/>
      <c r="U37" s="1"/>
      <c r="V37" s="13"/>
      <c r="W37" s="1"/>
      <c r="Y37" s="4">
        <v>1</v>
      </c>
      <c r="Z37">
        <v>2</v>
      </c>
      <c r="AA37">
        <v>0</v>
      </c>
      <c r="AB37">
        <v>1</v>
      </c>
      <c r="AC37" s="2">
        <v>1</v>
      </c>
      <c r="AD37" s="19"/>
      <c r="AE37" s="2">
        <v>2</v>
      </c>
      <c r="AF37" s="2">
        <v>3</v>
      </c>
      <c r="AG37" s="13">
        <v>4.0199999999999996</v>
      </c>
      <c r="AH37" s="13">
        <v>0.1</v>
      </c>
      <c r="AI37" s="4">
        <v>1</v>
      </c>
      <c r="AJ37" s="24">
        <v>10</v>
      </c>
      <c r="AK37" s="2">
        <v>0</v>
      </c>
      <c r="AL37" s="1"/>
      <c r="AM37" s="26"/>
      <c r="AN37" s="29"/>
      <c r="AO37" s="39"/>
      <c r="AP37" s="28"/>
      <c r="AQ37" s="2">
        <v>43</v>
      </c>
      <c r="AR37" s="29">
        <v>3.55</v>
      </c>
      <c r="AS37" s="28">
        <v>0.1</v>
      </c>
      <c r="AT37" s="13">
        <v>1</v>
      </c>
      <c r="AU37" s="29">
        <v>20</v>
      </c>
      <c r="AV37" s="2">
        <v>1</v>
      </c>
      <c r="AW37" s="2">
        <v>1</v>
      </c>
    </row>
    <row r="38" spans="1:49" x14ac:dyDescent="0.2">
      <c r="A38" s="3">
        <v>260</v>
      </c>
      <c r="B38" t="s">
        <v>25</v>
      </c>
      <c r="C38" s="2">
        <v>57.9</v>
      </c>
      <c r="D38" s="4">
        <v>2</v>
      </c>
      <c r="E38" s="4">
        <v>2</v>
      </c>
      <c r="F38" s="5"/>
      <c r="G38" s="5">
        <v>27.5</v>
      </c>
      <c r="H38">
        <v>1</v>
      </c>
      <c r="I38" t="s">
        <v>26</v>
      </c>
      <c r="J38" s="2">
        <v>2</v>
      </c>
      <c r="L38">
        <v>1</v>
      </c>
      <c r="M38" s="2">
        <v>3.8</v>
      </c>
      <c r="N38">
        <v>1</v>
      </c>
      <c r="O38">
        <v>2</v>
      </c>
      <c r="P38">
        <v>2</v>
      </c>
      <c r="Q38">
        <v>2</v>
      </c>
      <c r="R38">
        <v>2</v>
      </c>
      <c r="S38">
        <v>2</v>
      </c>
      <c r="T38" s="1"/>
      <c r="U38" s="1"/>
      <c r="V38" s="13"/>
      <c r="W38" s="1"/>
      <c r="Y38" s="4">
        <v>2</v>
      </c>
      <c r="Z38">
        <v>2</v>
      </c>
      <c r="AA38">
        <v>0</v>
      </c>
      <c r="AB38">
        <v>1</v>
      </c>
      <c r="AC38" s="2">
        <v>1</v>
      </c>
      <c r="AD38" s="19"/>
      <c r="AE38" s="2">
        <v>1</v>
      </c>
      <c r="AF38" s="2">
        <v>1</v>
      </c>
      <c r="AG38" s="13">
        <v>0.88</v>
      </c>
      <c r="AH38" s="24">
        <v>0.1</v>
      </c>
      <c r="AI38" s="4">
        <v>1</v>
      </c>
      <c r="AJ38" s="24">
        <v>10</v>
      </c>
      <c r="AK38" s="2">
        <v>0</v>
      </c>
      <c r="AL38" s="1"/>
      <c r="AM38" s="26"/>
      <c r="AN38" s="29"/>
      <c r="AO38" s="39"/>
      <c r="AP38" s="28"/>
      <c r="AQ38" s="2">
        <v>20.3</v>
      </c>
      <c r="AR38" s="29">
        <v>1.1299999999999999</v>
      </c>
      <c r="AS38" s="28">
        <v>0.1</v>
      </c>
      <c r="AT38" s="13">
        <v>1</v>
      </c>
      <c r="AU38" s="29">
        <v>20</v>
      </c>
      <c r="AV38" s="2">
        <v>1</v>
      </c>
      <c r="AW38" s="2">
        <v>1</v>
      </c>
    </row>
    <row r="39" spans="1:49" x14ac:dyDescent="0.2">
      <c r="A39" s="3">
        <v>264</v>
      </c>
      <c r="B39" t="s">
        <v>25</v>
      </c>
      <c r="C39" s="2">
        <v>65</v>
      </c>
      <c r="D39" s="4">
        <v>2</v>
      </c>
      <c r="E39" s="4">
        <v>2</v>
      </c>
      <c r="F39" s="5">
        <v>1</v>
      </c>
      <c r="G39" s="5">
        <v>27.1</v>
      </c>
      <c r="H39">
        <v>1</v>
      </c>
      <c r="I39" t="s">
        <v>26</v>
      </c>
      <c r="J39" s="2">
        <v>1</v>
      </c>
      <c r="K39">
        <v>1</v>
      </c>
      <c r="M39" s="2">
        <v>0.6</v>
      </c>
      <c r="N39">
        <v>1</v>
      </c>
      <c r="O39">
        <v>2</v>
      </c>
      <c r="P39">
        <v>2</v>
      </c>
      <c r="Q39">
        <v>2</v>
      </c>
      <c r="R39">
        <v>2</v>
      </c>
      <c r="S39">
        <v>2</v>
      </c>
      <c r="T39" s="1"/>
      <c r="U39" s="1"/>
      <c r="V39" s="13"/>
      <c r="W39" s="1"/>
      <c r="Y39" s="4">
        <v>2</v>
      </c>
      <c r="Z39">
        <v>1</v>
      </c>
      <c r="AA39">
        <v>0</v>
      </c>
      <c r="AB39">
        <v>1</v>
      </c>
      <c r="AC39" s="2">
        <v>1</v>
      </c>
      <c r="AD39" s="19"/>
      <c r="AE39" s="2">
        <v>1</v>
      </c>
      <c r="AF39" s="2">
        <v>1</v>
      </c>
      <c r="AG39" s="13">
        <v>2.54</v>
      </c>
      <c r="AH39" s="24">
        <v>0.1</v>
      </c>
      <c r="AI39" s="4">
        <v>1</v>
      </c>
      <c r="AJ39" s="24">
        <v>10</v>
      </c>
      <c r="AK39" s="2">
        <v>0</v>
      </c>
      <c r="AL39" s="1"/>
      <c r="AM39" s="26"/>
      <c r="AN39" s="29"/>
      <c r="AO39" s="39"/>
      <c r="AP39" s="28"/>
      <c r="AQ39" s="2">
        <v>65.2</v>
      </c>
      <c r="AR39" s="29">
        <v>0.1</v>
      </c>
      <c r="AS39" s="28">
        <v>0.12</v>
      </c>
      <c r="AT39" s="13">
        <v>1</v>
      </c>
      <c r="AU39" s="29">
        <v>20</v>
      </c>
      <c r="AV39" s="2">
        <v>1</v>
      </c>
      <c r="AW39" s="2">
        <v>1</v>
      </c>
    </row>
    <row r="40" spans="1:49" x14ac:dyDescent="0.2">
      <c r="A40" s="3">
        <v>274</v>
      </c>
      <c r="B40" t="s">
        <v>25</v>
      </c>
      <c r="C40" s="2">
        <v>44.1</v>
      </c>
      <c r="D40" s="4">
        <v>2</v>
      </c>
      <c r="E40" s="4">
        <v>2</v>
      </c>
      <c r="F40" s="5">
        <v>1</v>
      </c>
      <c r="G40" s="5">
        <v>18.399999999999999</v>
      </c>
      <c r="H40">
        <v>1</v>
      </c>
      <c r="I40" t="s">
        <v>26</v>
      </c>
      <c r="J40" s="2">
        <v>3</v>
      </c>
      <c r="M40" s="2">
        <v>0.4</v>
      </c>
      <c r="N40">
        <v>1</v>
      </c>
      <c r="O40">
        <v>2</v>
      </c>
      <c r="P40">
        <v>2</v>
      </c>
      <c r="Q40">
        <v>2</v>
      </c>
      <c r="R40">
        <v>2</v>
      </c>
      <c r="S40">
        <v>2</v>
      </c>
      <c r="T40" s="1"/>
      <c r="U40" s="1"/>
      <c r="V40" s="13"/>
      <c r="W40" s="1"/>
      <c r="Y40" s="4">
        <v>1</v>
      </c>
      <c r="Z40">
        <v>1</v>
      </c>
      <c r="AA40">
        <v>0</v>
      </c>
      <c r="AB40">
        <v>1</v>
      </c>
      <c r="AC40" s="2">
        <v>1</v>
      </c>
      <c r="AD40" s="19"/>
      <c r="AE40" s="2">
        <v>1</v>
      </c>
      <c r="AF40" s="2">
        <v>1</v>
      </c>
      <c r="AG40" s="13">
        <v>0.88</v>
      </c>
      <c r="AH40" s="24">
        <v>0.1</v>
      </c>
      <c r="AI40" s="4">
        <v>1</v>
      </c>
      <c r="AJ40" s="24">
        <v>10</v>
      </c>
      <c r="AK40" s="2">
        <v>0</v>
      </c>
      <c r="AL40" s="1"/>
      <c r="AM40" s="26"/>
      <c r="AN40" s="28"/>
      <c r="AO40" s="39"/>
      <c r="AP40" s="28"/>
      <c r="AQ40" s="2">
        <v>58.1</v>
      </c>
      <c r="AR40" s="29">
        <v>1.93</v>
      </c>
      <c r="AS40" s="34">
        <f>0.1/2</f>
        <v>0.05</v>
      </c>
      <c r="AT40" s="13">
        <v>1</v>
      </c>
      <c r="AU40" s="29">
        <v>20</v>
      </c>
      <c r="AV40" s="2">
        <v>1</v>
      </c>
      <c r="AW40" s="2">
        <v>1</v>
      </c>
    </row>
    <row r="41" spans="1:49" x14ac:dyDescent="0.2">
      <c r="A41" s="3">
        <v>293</v>
      </c>
      <c r="B41" t="s">
        <v>25</v>
      </c>
      <c r="C41" s="2">
        <v>60.4</v>
      </c>
      <c r="D41" s="4">
        <v>2</v>
      </c>
      <c r="E41" s="4">
        <v>2</v>
      </c>
      <c r="F41" s="5">
        <v>1</v>
      </c>
      <c r="G41" s="5">
        <v>28.3</v>
      </c>
      <c r="H41">
        <v>2</v>
      </c>
      <c r="I41" t="s">
        <v>26</v>
      </c>
      <c r="J41" s="2">
        <v>1</v>
      </c>
      <c r="K41">
        <v>4</v>
      </c>
      <c r="M41" s="2">
        <v>1.1000000000000001</v>
      </c>
      <c r="N41">
        <v>1</v>
      </c>
      <c r="O41">
        <v>2</v>
      </c>
      <c r="P41">
        <v>2</v>
      </c>
      <c r="Q41">
        <v>2</v>
      </c>
      <c r="R41">
        <v>2</v>
      </c>
      <c r="S41">
        <v>2</v>
      </c>
      <c r="T41" s="1"/>
      <c r="U41" s="1"/>
      <c r="V41" s="13"/>
      <c r="W41" s="1"/>
      <c r="Y41" s="4">
        <v>1</v>
      </c>
      <c r="Z41">
        <v>1</v>
      </c>
      <c r="AA41">
        <v>0</v>
      </c>
      <c r="AB41">
        <v>1</v>
      </c>
      <c r="AC41" s="2">
        <v>1</v>
      </c>
      <c r="AD41" s="19"/>
      <c r="AE41" s="2">
        <v>1</v>
      </c>
      <c r="AF41" s="2">
        <v>1</v>
      </c>
      <c r="AG41" s="13">
        <v>1.42</v>
      </c>
      <c r="AH41" s="24">
        <v>0.1</v>
      </c>
      <c r="AI41" s="4">
        <v>1</v>
      </c>
      <c r="AJ41" s="24">
        <v>10</v>
      </c>
      <c r="AK41" s="2">
        <v>0</v>
      </c>
      <c r="AL41" s="1"/>
      <c r="AM41" s="26"/>
      <c r="AN41" s="29"/>
      <c r="AO41" s="39"/>
      <c r="AP41" s="28"/>
      <c r="AQ41" s="2">
        <v>18.899999999999999</v>
      </c>
      <c r="AR41" s="29">
        <v>0.68</v>
      </c>
      <c r="AS41" s="28">
        <v>0.1</v>
      </c>
      <c r="AT41" s="13">
        <v>1</v>
      </c>
      <c r="AU41" s="29">
        <v>20</v>
      </c>
      <c r="AV41" s="2">
        <v>1</v>
      </c>
      <c r="AW41" s="2">
        <v>1</v>
      </c>
    </row>
    <row r="42" spans="1:49" x14ac:dyDescent="0.2">
      <c r="A42" s="3">
        <v>339</v>
      </c>
      <c r="B42" t="s">
        <v>27</v>
      </c>
      <c r="C42" s="2">
        <v>57.4</v>
      </c>
      <c r="D42" s="4">
        <v>2</v>
      </c>
      <c r="E42" s="4">
        <v>2</v>
      </c>
      <c r="F42" s="5"/>
      <c r="G42" s="5">
        <v>36.6</v>
      </c>
      <c r="H42">
        <v>1</v>
      </c>
      <c r="I42" t="s">
        <v>26</v>
      </c>
      <c r="J42" s="2">
        <v>1</v>
      </c>
      <c r="K42">
        <v>1</v>
      </c>
      <c r="M42" s="2">
        <v>0.2</v>
      </c>
      <c r="N42">
        <v>1</v>
      </c>
      <c r="O42">
        <v>2</v>
      </c>
      <c r="P42">
        <v>2</v>
      </c>
      <c r="Q42">
        <v>2</v>
      </c>
      <c r="R42">
        <v>2</v>
      </c>
      <c r="S42">
        <v>2</v>
      </c>
      <c r="T42" s="1"/>
      <c r="U42" s="1"/>
      <c r="V42" s="13"/>
      <c r="W42" s="1"/>
      <c r="Y42" s="4">
        <v>2</v>
      </c>
      <c r="Z42">
        <v>1</v>
      </c>
      <c r="AA42">
        <v>0</v>
      </c>
      <c r="AB42">
        <v>1</v>
      </c>
      <c r="AC42" s="2">
        <v>1</v>
      </c>
      <c r="AD42" s="19"/>
      <c r="AE42" s="2">
        <v>1</v>
      </c>
      <c r="AF42" s="2">
        <v>1</v>
      </c>
      <c r="AG42" s="13">
        <v>7</v>
      </c>
      <c r="AH42" s="24">
        <v>0.1</v>
      </c>
      <c r="AI42" s="4">
        <v>1</v>
      </c>
      <c r="AJ42" s="24">
        <v>10</v>
      </c>
      <c r="AK42" s="2">
        <v>0</v>
      </c>
      <c r="AL42" s="1"/>
      <c r="AM42" s="26"/>
      <c r="AN42" s="29"/>
      <c r="AO42" s="39"/>
      <c r="AP42" s="28"/>
      <c r="AQ42" s="2">
        <v>53.5</v>
      </c>
      <c r="AR42" s="29">
        <v>5.77</v>
      </c>
      <c r="AS42" s="28">
        <v>0.22</v>
      </c>
      <c r="AT42" s="13">
        <v>1</v>
      </c>
      <c r="AU42" s="29">
        <v>20</v>
      </c>
      <c r="AV42" s="2">
        <v>1</v>
      </c>
      <c r="AW42" s="2">
        <v>1</v>
      </c>
    </row>
    <row r="43" spans="1:49" x14ac:dyDescent="0.2">
      <c r="A43" s="3">
        <v>183</v>
      </c>
      <c r="B43" t="s">
        <v>25</v>
      </c>
      <c r="C43" s="2">
        <v>43.4</v>
      </c>
      <c r="D43" s="4">
        <v>2</v>
      </c>
      <c r="E43" s="4">
        <v>2</v>
      </c>
      <c r="F43" s="5">
        <v>1</v>
      </c>
      <c r="G43" s="5">
        <v>38.200000000000003</v>
      </c>
      <c r="H43">
        <v>1</v>
      </c>
      <c r="I43" t="s">
        <v>26</v>
      </c>
      <c r="J43" s="2">
        <v>1</v>
      </c>
      <c r="K43">
        <v>3</v>
      </c>
      <c r="M43" s="2">
        <v>1.5</v>
      </c>
      <c r="N43">
        <v>1</v>
      </c>
      <c r="O43">
        <v>1</v>
      </c>
      <c r="P43">
        <v>2</v>
      </c>
      <c r="Q43">
        <v>2</v>
      </c>
      <c r="R43">
        <v>2</v>
      </c>
      <c r="S43">
        <v>2</v>
      </c>
      <c r="T43" s="1"/>
      <c r="U43" s="1"/>
      <c r="V43" s="13"/>
      <c r="W43" s="1"/>
      <c r="Y43" s="4">
        <v>2</v>
      </c>
      <c r="Z43">
        <v>1</v>
      </c>
      <c r="AA43">
        <v>0</v>
      </c>
      <c r="AB43">
        <v>1</v>
      </c>
      <c r="AC43" s="2">
        <v>1</v>
      </c>
      <c r="AD43" s="19"/>
      <c r="AE43" s="2">
        <v>1</v>
      </c>
      <c r="AF43" s="2">
        <v>2</v>
      </c>
      <c r="AG43" s="13">
        <v>0.01</v>
      </c>
      <c r="AH43" s="15">
        <v>0.1</v>
      </c>
      <c r="AI43" s="4">
        <v>1</v>
      </c>
      <c r="AJ43" s="24">
        <v>10</v>
      </c>
      <c r="AK43" s="2">
        <v>0</v>
      </c>
      <c r="AL43" s="1"/>
      <c r="AM43" s="26"/>
      <c r="AN43" s="29"/>
      <c r="AO43" s="39"/>
      <c r="AP43" s="28"/>
      <c r="AQ43" s="2">
        <v>27.9</v>
      </c>
      <c r="AR43" s="29">
        <v>0.04</v>
      </c>
      <c r="AS43" s="34">
        <v>0.05</v>
      </c>
      <c r="AT43" s="13">
        <v>1</v>
      </c>
      <c r="AU43" s="29">
        <v>20</v>
      </c>
      <c r="AV43" s="2">
        <v>1</v>
      </c>
      <c r="AW43" s="2">
        <v>1</v>
      </c>
    </row>
    <row r="44" spans="1:49" x14ac:dyDescent="0.2">
      <c r="A44" s="3">
        <v>20</v>
      </c>
      <c r="B44" t="s">
        <v>25</v>
      </c>
      <c r="C44" s="2">
        <v>66</v>
      </c>
      <c r="D44" s="4">
        <v>2</v>
      </c>
      <c r="E44" s="4">
        <v>2</v>
      </c>
      <c r="F44" s="5">
        <v>1</v>
      </c>
      <c r="G44" s="5">
        <v>25.4</v>
      </c>
      <c r="H44">
        <v>1</v>
      </c>
      <c r="I44" t="s">
        <v>26</v>
      </c>
      <c r="J44" s="2">
        <v>1</v>
      </c>
      <c r="K44">
        <v>1</v>
      </c>
      <c r="M44" s="2">
        <v>1.2</v>
      </c>
      <c r="N44">
        <v>1</v>
      </c>
      <c r="O44">
        <v>2</v>
      </c>
      <c r="P44">
        <v>2</v>
      </c>
      <c r="Q44">
        <v>1</v>
      </c>
      <c r="R44">
        <v>2</v>
      </c>
      <c r="S44">
        <v>2</v>
      </c>
      <c r="T44" s="1"/>
      <c r="U44" s="1"/>
      <c r="V44" s="13"/>
      <c r="W44" s="1"/>
      <c r="Y44" s="4"/>
      <c r="Z44">
        <v>1</v>
      </c>
      <c r="AA44">
        <v>3</v>
      </c>
      <c r="AB44">
        <v>1</v>
      </c>
      <c r="AC44" s="2">
        <v>1</v>
      </c>
      <c r="AD44" s="19"/>
      <c r="AE44" s="2">
        <v>2</v>
      </c>
      <c r="AF44" s="2">
        <v>3</v>
      </c>
      <c r="AG44" s="13">
        <v>0.83</v>
      </c>
      <c r="AH44" s="13">
        <v>0.1</v>
      </c>
      <c r="AI44" s="4">
        <v>1</v>
      </c>
      <c r="AJ44" s="15">
        <v>20</v>
      </c>
      <c r="AK44" s="2">
        <v>1</v>
      </c>
      <c r="AL44" s="3">
        <v>30</v>
      </c>
      <c r="AM44" s="26">
        <v>78.8</v>
      </c>
      <c r="AN44" s="29">
        <v>3.16</v>
      </c>
      <c r="AO44" s="38">
        <v>1</v>
      </c>
      <c r="AP44" s="34">
        <v>10</v>
      </c>
      <c r="AQ44" s="2">
        <v>43.6</v>
      </c>
      <c r="AR44" s="29">
        <v>2.17</v>
      </c>
      <c r="AS44" s="28">
        <v>0.1</v>
      </c>
      <c r="AT44" s="13">
        <v>1</v>
      </c>
      <c r="AU44" s="29">
        <v>20</v>
      </c>
      <c r="AV44" s="2">
        <v>1</v>
      </c>
      <c r="AW44" s="2">
        <v>1</v>
      </c>
    </row>
    <row r="45" spans="1:49" x14ac:dyDescent="0.2">
      <c r="A45" s="3">
        <v>25</v>
      </c>
      <c r="B45" t="s">
        <v>27</v>
      </c>
      <c r="C45" s="2">
        <v>56.8</v>
      </c>
      <c r="D45" s="4">
        <v>2</v>
      </c>
      <c r="E45" s="4">
        <v>1</v>
      </c>
      <c r="F45" s="5">
        <v>2</v>
      </c>
      <c r="G45" s="5">
        <v>22.6</v>
      </c>
      <c r="H45">
        <v>1</v>
      </c>
      <c r="I45" t="s">
        <v>26</v>
      </c>
      <c r="J45" s="2">
        <v>1</v>
      </c>
      <c r="K45">
        <v>4</v>
      </c>
      <c r="M45" s="2">
        <v>2.8</v>
      </c>
      <c r="N45">
        <v>1</v>
      </c>
      <c r="O45">
        <v>2</v>
      </c>
      <c r="P45">
        <v>2</v>
      </c>
      <c r="Q45">
        <v>1</v>
      </c>
      <c r="R45">
        <v>2</v>
      </c>
      <c r="S45">
        <v>2</v>
      </c>
      <c r="T45" s="1"/>
      <c r="U45" s="1"/>
      <c r="V45" s="13"/>
      <c r="W45" s="1"/>
      <c r="Y45" s="4">
        <v>2</v>
      </c>
      <c r="Z45">
        <v>2</v>
      </c>
      <c r="AA45">
        <v>0</v>
      </c>
      <c r="AB45">
        <v>1</v>
      </c>
      <c r="AC45" s="2">
        <v>1</v>
      </c>
      <c r="AD45" s="19"/>
      <c r="AE45" s="2">
        <v>2</v>
      </c>
      <c r="AF45" s="2">
        <v>3</v>
      </c>
      <c r="AG45" s="13">
        <v>0.43</v>
      </c>
      <c r="AH45" s="13">
        <v>0.1</v>
      </c>
      <c r="AI45" s="4">
        <v>1</v>
      </c>
      <c r="AJ45" s="15">
        <v>20</v>
      </c>
      <c r="AK45" s="2">
        <v>0</v>
      </c>
      <c r="AL45" s="1"/>
      <c r="AM45" s="26"/>
      <c r="AN45" s="29"/>
      <c r="AO45" s="39"/>
      <c r="AP45" s="29"/>
      <c r="AQ45" s="2">
        <v>20.6</v>
      </c>
      <c r="AR45" s="29">
        <v>0.06</v>
      </c>
      <c r="AS45" s="28">
        <v>0.1</v>
      </c>
      <c r="AT45" s="13">
        <v>1</v>
      </c>
      <c r="AU45" s="29">
        <v>20</v>
      </c>
      <c r="AV45" s="2">
        <v>2</v>
      </c>
      <c r="AW45" s="2">
        <v>2</v>
      </c>
    </row>
    <row r="46" spans="1:49" x14ac:dyDescent="0.2">
      <c r="A46" s="3">
        <v>35</v>
      </c>
      <c r="B46" t="s">
        <v>25</v>
      </c>
      <c r="C46" s="2">
        <v>66.5</v>
      </c>
      <c r="D46" s="4">
        <v>2</v>
      </c>
      <c r="E46" s="4">
        <v>2</v>
      </c>
      <c r="F46" s="5">
        <v>1</v>
      </c>
      <c r="G46" s="5">
        <v>34.200000000000003</v>
      </c>
      <c r="H46">
        <v>1</v>
      </c>
      <c r="I46" t="s">
        <v>26</v>
      </c>
      <c r="J46" s="2">
        <v>1</v>
      </c>
      <c r="M46" s="2">
        <v>0.5</v>
      </c>
      <c r="N46">
        <v>1</v>
      </c>
      <c r="O46">
        <v>1</v>
      </c>
      <c r="P46">
        <v>2</v>
      </c>
      <c r="T46" s="1"/>
      <c r="U46" s="1"/>
      <c r="V46" s="13"/>
      <c r="W46" s="1"/>
      <c r="Y46" s="4">
        <v>1</v>
      </c>
      <c r="Z46">
        <v>1</v>
      </c>
      <c r="AA46">
        <v>3</v>
      </c>
      <c r="AB46">
        <v>1</v>
      </c>
      <c r="AC46" s="2">
        <v>1</v>
      </c>
      <c r="AD46" s="19"/>
      <c r="AE46" s="2">
        <v>1</v>
      </c>
      <c r="AF46" s="2">
        <v>2</v>
      </c>
      <c r="AG46" s="13">
        <v>7.27</v>
      </c>
      <c r="AH46" s="15">
        <v>0.1</v>
      </c>
      <c r="AI46" s="4">
        <v>1</v>
      </c>
      <c r="AJ46" s="15">
        <v>20</v>
      </c>
      <c r="AK46" s="2">
        <v>0</v>
      </c>
      <c r="AL46" s="1"/>
      <c r="AM46" s="26"/>
      <c r="AN46" s="29"/>
      <c r="AO46" s="39"/>
      <c r="AP46" s="28"/>
      <c r="AQ46" s="2">
        <v>95.7</v>
      </c>
      <c r="AR46" s="29">
        <v>3.58</v>
      </c>
      <c r="AS46" s="34">
        <v>0.1</v>
      </c>
      <c r="AT46" s="13">
        <v>3</v>
      </c>
      <c r="AU46" s="29">
        <v>20</v>
      </c>
      <c r="AV46" s="2">
        <v>1</v>
      </c>
      <c r="AW46" s="2">
        <v>1</v>
      </c>
    </row>
    <row r="47" spans="1:49" x14ac:dyDescent="0.2">
      <c r="A47" s="3">
        <v>208</v>
      </c>
      <c r="B47" t="s">
        <v>25</v>
      </c>
      <c r="C47" s="2">
        <v>46.8</v>
      </c>
      <c r="D47" s="4">
        <v>2</v>
      </c>
      <c r="E47" s="4">
        <v>1</v>
      </c>
      <c r="F47" s="5">
        <v>1</v>
      </c>
      <c r="G47" s="5">
        <v>31.2</v>
      </c>
      <c r="H47">
        <v>1</v>
      </c>
      <c r="I47" t="s">
        <v>26</v>
      </c>
      <c r="J47" s="2">
        <v>1</v>
      </c>
      <c r="K47">
        <v>10</v>
      </c>
      <c r="M47" s="2">
        <v>1.1000000000000001</v>
      </c>
      <c r="N47">
        <v>1</v>
      </c>
      <c r="O47">
        <v>2</v>
      </c>
      <c r="P47">
        <v>2</v>
      </c>
      <c r="Q47">
        <v>2</v>
      </c>
      <c r="R47">
        <v>2</v>
      </c>
      <c r="S47">
        <v>2</v>
      </c>
      <c r="T47" s="1"/>
      <c r="U47" s="1"/>
      <c r="V47" s="13"/>
      <c r="W47" s="1"/>
      <c r="Y47" s="4">
        <v>1</v>
      </c>
      <c r="Z47">
        <v>1</v>
      </c>
      <c r="AA47">
        <v>0</v>
      </c>
      <c r="AB47">
        <v>1</v>
      </c>
      <c r="AC47" s="2">
        <v>1</v>
      </c>
      <c r="AD47" s="19"/>
      <c r="AE47" s="2">
        <v>1</v>
      </c>
      <c r="AF47" s="2">
        <v>1</v>
      </c>
      <c r="AG47" s="13">
        <v>7.26</v>
      </c>
      <c r="AH47" s="24">
        <v>0.1</v>
      </c>
      <c r="AI47" s="4">
        <v>1</v>
      </c>
      <c r="AJ47" s="15">
        <v>26</v>
      </c>
      <c r="AK47" s="2">
        <v>0</v>
      </c>
      <c r="AL47" s="1"/>
      <c r="AM47" s="26"/>
      <c r="AN47" s="29"/>
      <c r="AO47" s="39"/>
      <c r="AP47" s="28"/>
      <c r="AQ47" s="2">
        <v>118.6</v>
      </c>
      <c r="AR47" s="29">
        <v>1.25</v>
      </c>
      <c r="AS47" s="34">
        <v>0.05</v>
      </c>
      <c r="AT47" s="13">
        <v>1</v>
      </c>
      <c r="AU47" s="29">
        <v>1.6</v>
      </c>
      <c r="AV47" s="2">
        <v>1</v>
      </c>
      <c r="AW47" s="2">
        <v>1</v>
      </c>
    </row>
    <row r="48" spans="1:49" x14ac:dyDescent="0.2">
      <c r="A48" s="3">
        <v>149</v>
      </c>
      <c r="B48" t="s">
        <v>25</v>
      </c>
      <c r="C48" s="2">
        <v>53.4</v>
      </c>
      <c r="D48" s="4">
        <v>2</v>
      </c>
      <c r="E48" s="4">
        <v>1</v>
      </c>
      <c r="F48" s="5"/>
      <c r="G48" s="5"/>
      <c r="H48">
        <v>2</v>
      </c>
      <c r="I48" t="s">
        <v>26</v>
      </c>
      <c r="J48" s="2">
        <v>1</v>
      </c>
      <c r="K48">
        <v>1</v>
      </c>
      <c r="M48" s="2">
        <v>3.4</v>
      </c>
      <c r="N48">
        <v>2</v>
      </c>
      <c r="O48">
        <v>1</v>
      </c>
      <c r="P48">
        <v>1</v>
      </c>
      <c r="Q48">
        <v>1</v>
      </c>
      <c r="R48">
        <v>2</v>
      </c>
      <c r="S48">
        <v>1</v>
      </c>
      <c r="T48" s="3">
        <v>7</v>
      </c>
      <c r="U48" s="3">
        <v>6</v>
      </c>
      <c r="V48" s="13">
        <v>85.71</v>
      </c>
      <c r="W48" s="2">
        <v>0.9</v>
      </c>
      <c r="X48">
        <v>2</v>
      </c>
      <c r="Y48" s="4">
        <v>2</v>
      </c>
      <c r="Z48">
        <v>2</v>
      </c>
      <c r="AA48">
        <v>2</v>
      </c>
      <c r="AB48">
        <v>1</v>
      </c>
      <c r="AC48" s="2">
        <v>1</v>
      </c>
      <c r="AD48" s="19"/>
      <c r="AE48" s="2">
        <v>2</v>
      </c>
      <c r="AF48" s="2">
        <v>3</v>
      </c>
      <c r="AG48" s="13">
        <v>0.66</v>
      </c>
      <c r="AH48" s="15">
        <v>0.55000000000000004</v>
      </c>
      <c r="AI48" s="4">
        <v>1</v>
      </c>
      <c r="AJ48" s="24">
        <v>10</v>
      </c>
      <c r="AK48" s="2">
        <v>1</v>
      </c>
      <c r="AL48" s="3">
        <v>30</v>
      </c>
      <c r="AM48" s="27">
        <v>150</v>
      </c>
      <c r="AN48" s="29">
        <v>25.6</v>
      </c>
      <c r="AO48" s="38">
        <v>1</v>
      </c>
      <c r="AP48" s="34">
        <v>10</v>
      </c>
      <c r="AQ48" s="2">
        <v>59</v>
      </c>
      <c r="AR48" s="29">
        <v>0.86</v>
      </c>
      <c r="AS48" s="34">
        <v>0.1</v>
      </c>
      <c r="AT48" s="13">
        <v>1</v>
      </c>
      <c r="AU48" s="29">
        <v>0.9</v>
      </c>
      <c r="AV48" s="2">
        <v>1</v>
      </c>
      <c r="AW48" s="2">
        <v>1</v>
      </c>
    </row>
    <row r="49" spans="1:49" x14ac:dyDescent="0.2">
      <c r="A49" s="3">
        <v>377</v>
      </c>
      <c r="B49" t="s">
        <v>25</v>
      </c>
      <c r="C49" s="2">
        <v>69.2</v>
      </c>
      <c r="D49" s="4">
        <v>2</v>
      </c>
      <c r="E49" s="4">
        <v>2</v>
      </c>
      <c r="F49" s="5">
        <v>1</v>
      </c>
      <c r="G49" s="5">
        <v>40.4</v>
      </c>
      <c r="H49">
        <v>2</v>
      </c>
      <c r="I49" t="s">
        <v>26</v>
      </c>
      <c r="J49" s="2">
        <v>3</v>
      </c>
      <c r="M49" s="2">
        <v>1.3</v>
      </c>
      <c r="N49">
        <v>1</v>
      </c>
      <c r="O49">
        <v>2</v>
      </c>
      <c r="P49">
        <v>2</v>
      </c>
      <c r="Q49">
        <v>2</v>
      </c>
      <c r="R49">
        <v>2</v>
      </c>
      <c r="S49">
        <v>2</v>
      </c>
      <c r="T49" s="1"/>
      <c r="U49" s="1"/>
      <c r="V49" s="13"/>
      <c r="W49" s="1"/>
      <c r="Y49" s="4">
        <v>1</v>
      </c>
      <c r="Z49">
        <v>1</v>
      </c>
      <c r="AA49">
        <v>0</v>
      </c>
      <c r="AB49">
        <v>1</v>
      </c>
      <c r="AC49" s="2">
        <v>1</v>
      </c>
      <c r="AD49" s="19"/>
      <c r="AE49" s="2">
        <v>1</v>
      </c>
      <c r="AF49" s="2">
        <v>1</v>
      </c>
      <c r="AG49" s="13">
        <v>28.2</v>
      </c>
      <c r="AH49" s="24">
        <v>0.1</v>
      </c>
      <c r="AI49" s="4">
        <v>2</v>
      </c>
      <c r="AJ49" s="15">
        <v>60</v>
      </c>
      <c r="AK49" s="2">
        <v>0</v>
      </c>
      <c r="AL49" s="1"/>
      <c r="AM49" s="26"/>
      <c r="AN49" s="29"/>
      <c r="AO49" s="39"/>
      <c r="AP49" s="28"/>
      <c r="AQ49" s="2">
        <v>105.4</v>
      </c>
      <c r="AR49" s="29">
        <v>0.72</v>
      </c>
      <c r="AS49" s="34">
        <f>0.1/2</f>
        <v>0.05</v>
      </c>
      <c r="AT49" s="13">
        <v>1</v>
      </c>
      <c r="AU49" s="29">
        <v>2.4</v>
      </c>
      <c r="AV49" s="2">
        <v>1</v>
      </c>
      <c r="AW49" s="2">
        <v>1</v>
      </c>
    </row>
    <row r="50" spans="1:49" x14ac:dyDescent="0.2">
      <c r="A50" s="3">
        <v>30</v>
      </c>
      <c r="B50" t="s">
        <v>25</v>
      </c>
      <c r="C50" s="2">
        <v>58.5</v>
      </c>
      <c r="D50" s="4">
        <v>2</v>
      </c>
      <c r="E50" s="4">
        <v>2</v>
      </c>
      <c r="F50" s="5">
        <v>1</v>
      </c>
      <c r="G50" s="5">
        <v>26.6</v>
      </c>
      <c r="H50">
        <v>1</v>
      </c>
      <c r="I50" t="s">
        <v>26</v>
      </c>
      <c r="J50" s="2">
        <v>1</v>
      </c>
      <c r="K50">
        <v>3</v>
      </c>
      <c r="M50" s="2">
        <v>0.3</v>
      </c>
      <c r="N50">
        <v>1</v>
      </c>
      <c r="O50">
        <v>2</v>
      </c>
      <c r="P50">
        <v>2</v>
      </c>
      <c r="Q50">
        <v>2</v>
      </c>
      <c r="R50">
        <v>2</v>
      </c>
      <c r="S50">
        <v>2</v>
      </c>
      <c r="T50" s="1"/>
      <c r="U50" s="1"/>
      <c r="V50" s="13"/>
      <c r="W50" s="1"/>
      <c r="Y50" s="4">
        <v>2</v>
      </c>
      <c r="Z50">
        <v>1</v>
      </c>
      <c r="AA50">
        <v>0</v>
      </c>
      <c r="AB50">
        <v>1</v>
      </c>
      <c r="AC50" s="2">
        <v>1</v>
      </c>
      <c r="AD50" s="6">
        <v>0</v>
      </c>
      <c r="AE50" s="2">
        <v>1</v>
      </c>
      <c r="AF50" s="2">
        <v>1</v>
      </c>
      <c r="AG50" s="13">
        <v>0.05</v>
      </c>
      <c r="AH50" s="15">
        <v>0.1</v>
      </c>
      <c r="AI50" s="4">
        <v>2</v>
      </c>
      <c r="AJ50" s="15">
        <v>76</v>
      </c>
      <c r="AK50" s="2">
        <v>0</v>
      </c>
      <c r="AL50" s="1"/>
      <c r="AM50" s="26"/>
      <c r="AN50" s="29"/>
      <c r="AO50" s="39"/>
      <c r="AP50" s="28"/>
      <c r="AQ50" s="2">
        <v>96.1</v>
      </c>
      <c r="AR50" s="29">
        <v>0.22</v>
      </c>
      <c r="AS50" s="28">
        <v>0.1</v>
      </c>
      <c r="AT50" s="13">
        <v>1</v>
      </c>
      <c r="AU50" s="29">
        <v>2.8</v>
      </c>
      <c r="AV50" s="2">
        <v>1</v>
      </c>
      <c r="AW50" s="2">
        <v>1</v>
      </c>
    </row>
    <row r="51" spans="1:49" x14ac:dyDescent="0.2">
      <c r="A51" s="3">
        <v>195</v>
      </c>
      <c r="B51" t="s">
        <v>25</v>
      </c>
      <c r="C51" s="2">
        <v>60.2</v>
      </c>
      <c r="D51" s="4">
        <v>2</v>
      </c>
      <c r="E51" s="4">
        <v>2</v>
      </c>
      <c r="F51" s="5">
        <v>1</v>
      </c>
      <c r="G51" s="5">
        <v>24.4</v>
      </c>
      <c r="H51">
        <v>1</v>
      </c>
      <c r="I51" t="s">
        <v>26</v>
      </c>
      <c r="J51" s="2">
        <v>1</v>
      </c>
      <c r="K51">
        <v>1</v>
      </c>
      <c r="M51" s="2">
        <v>1</v>
      </c>
      <c r="N51">
        <v>1</v>
      </c>
      <c r="O51">
        <v>1</v>
      </c>
      <c r="P51">
        <v>1</v>
      </c>
      <c r="Q51">
        <v>1</v>
      </c>
      <c r="R51">
        <v>2</v>
      </c>
      <c r="T51" s="1"/>
      <c r="U51" s="1"/>
      <c r="V51" s="13"/>
      <c r="W51" s="1"/>
      <c r="Y51" s="4">
        <v>2</v>
      </c>
      <c r="Z51">
        <v>1</v>
      </c>
      <c r="AA51">
        <v>3</v>
      </c>
      <c r="AB51">
        <v>1</v>
      </c>
      <c r="AC51" s="2">
        <v>1</v>
      </c>
      <c r="AD51" s="19"/>
      <c r="AE51" s="2">
        <v>2</v>
      </c>
      <c r="AF51" s="2">
        <v>3</v>
      </c>
      <c r="AG51" s="13">
        <v>0.03</v>
      </c>
      <c r="AH51" s="24">
        <v>0.1</v>
      </c>
      <c r="AI51" s="4">
        <v>2</v>
      </c>
      <c r="AJ51" s="15">
        <v>130</v>
      </c>
      <c r="AK51" s="2">
        <v>1</v>
      </c>
      <c r="AL51" s="3">
        <v>30</v>
      </c>
      <c r="AM51" s="26">
        <v>141</v>
      </c>
      <c r="AN51" s="34">
        <v>0.1</v>
      </c>
      <c r="AO51" s="38">
        <v>2</v>
      </c>
      <c r="AP51" s="28">
        <v>101</v>
      </c>
      <c r="AQ51" s="2">
        <v>78.5</v>
      </c>
      <c r="AR51" s="29">
        <v>1</v>
      </c>
      <c r="AS51" s="34">
        <f>0.1/2</f>
        <v>0.05</v>
      </c>
      <c r="AT51" s="13">
        <v>1</v>
      </c>
      <c r="AU51" s="29">
        <v>1.3</v>
      </c>
      <c r="AV51" s="2">
        <v>1</v>
      </c>
      <c r="AW51" s="2">
        <v>1</v>
      </c>
    </row>
    <row r="52" spans="1:49" x14ac:dyDescent="0.2">
      <c r="A52" s="3">
        <v>76</v>
      </c>
      <c r="B52" t="s">
        <v>25</v>
      </c>
      <c r="C52" s="2">
        <v>36.700000000000003</v>
      </c>
      <c r="D52" s="4">
        <v>2</v>
      </c>
      <c r="E52" s="4">
        <v>2</v>
      </c>
      <c r="F52" s="5">
        <v>1</v>
      </c>
      <c r="G52" s="5">
        <v>35.5</v>
      </c>
      <c r="H52">
        <v>2</v>
      </c>
      <c r="I52" t="s">
        <v>26</v>
      </c>
      <c r="J52" s="2">
        <v>1</v>
      </c>
      <c r="K52">
        <v>1</v>
      </c>
      <c r="M52" s="2">
        <v>3.3</v>
      </c>
      <c r="N52">
        <v>3</v>
      </c>
      <c r="O52">
        <v>1</v>
      </c>
      <c r="P52">
        <v>1</v>
      </c>
      <c r="Q52">
        <v>1</v>
      </c>
      <c r="R52">
        <v>2</v>
      </c>
      <c r="S52">
        <v>1</v>
      </c>
      <c r="T52" s="3">
        <v>23</v>
      </c>
      <c r="U52" s="3">
        <v>11</v>
      </c>
      <c r="V52" s="13">
        <v>47.83</v>
      </c>
      <c r="W52" s="2">
        <v>2</v>
      </c>
      <c r="X52">
        <v>1</v>
      </c>
      <c r="Y52" s="4">
        <v>2</v>
      </c>
      <c r="Z52">
        <v>3</v>
      </c>
      <c r="AA52">
        <v>2</v>
      </c>
      <c r="AB52">
        <v>1</v>
      </c>
      <c r="AC52" s="2">
        <v>1</v>
      </c>
      <c r="AD52" s="19"/>
      <c r="AE52" s="2">
        <v>3</v>
      </c>
      <c r="AF52" s="2">
        <v>4</v>
      </c>
      <c r="AG52" s="13">
        <v>0.6</v>
      </c>
      <c r="AH52" s="15">
        <v>0.57999999999999996</v>
      </c>
      <c r="AI52" s="4">
        <v>1</v>
      </c>
      <c r="AJ52" s="24">
        <v>10</v>
      </c>
      <c r="AK52" s="2">
        <v>1</v>
      </c>
      <c r="AL52" s="3">
        <v>100</v>
      </c>
      <c r="AM52" s="26">
        <v>49</v>
      </c>
      <c r="AN52" s="29">
        <v>4.9000000000000004</v>
      </c>
      <c r="AO52" s="38">
        <v>1</v>
      </c>
      <c r="AP52" s="34">
        <v>10</v>
      </c>
      <c r="AQ52" s="2">
        <v>71.5</v>
      </c>
      <c r="AR52" s="29">
        <v>0.52</v>
      </c>
      <c r="AS52" s="28">
        <v>0.32</v>
      </c>
      <c r="AT52" s="13">
        <v>1</v>
      </c>
      <c r="AU52" s="29">
        <v>1.9</v>
      </c>
      <c r="AV52" s="2">
        <v>2</v>
      </c>
      <c r="AW52" s="2">
        <v>2</v>
      </c>
    </row>
    <row r="53" spans="1:49" x14ac:dyDescent="0.2">
      <c r="A53" s="3">
        <v>93</v>
      </c>
      <c r="B53" t="s">
        <v>25</v>
      </c>
      <c r="C53" s="2">
        <v>57.9</v>
      </c>
      <c r="D53" s="4">
        <v>2</v>
      </c>
      <c r="E53" s="4">
        <v>2</v>
      </c>
      <c r="F53" s="5">
        <v>2</v>
      </c>
      <c r="G53" s="5">
        <v>47.5</v>
      </c>
      <c r="H53">
        <v>1</v>
      </c>
      <c r="I53" t="s">
        <v>26</v>
      </c>
      <c r="J53" s="2">
        <v>1</v>
      </c>
      <c r="K53">
        <v>3</v>
      </c>
      <c r="M53" s="2">
        <v>0.7</v>
      </c>
      <c r="N53">
        <v>2</v>
      </c>
      <c r="O53">
        <v>1</v>
      </c>
      <c r="P53">
        <v>1</v>
      </c>
      <c r="Q53">
        <v>1</v>
      </c>
      <c r="R53">
        <v>2</v>
      </c>
      <c r="T53" s="1"/>
      <c r="U53" s="1"/>
      <c r="V53" s="13"/>
      <c r="W53" s="1"/>
      <c r="Y53" s="4">
        <v>1</v>
      </c>
      <c r="Z53">
        <v>1</v>
      </c>
      <c r="AA53">
        <v>3</v>
      </c>
      <c r="AB53">
        <v>1</v>
      </c>
      <c r="AC53" s="2">
        <v>1</v>
      </c>
      <c r="AD53" s="19"/>
      <c r="AE53" s="2">
        <v>2</v>
      </c>
      <c r="AF53" s="2">
        <v>3</v>
      </c>
      <c r="AG53" s="13">
        <v>47</v>
      </c>
      <c r="AH53" s="24">
        <v>0.1</v>
      </c>
      <c r="AI53" s="4">
        <v>2</v>
      </c>
      <c r="AJ53" s="15">
        <v>253</v>
      </c>
      <c r="AK53" s="2">
        <v>1</v>
      </c>
      <c r="AL53" s="3">
        <v>30</v>
      </c>
      <c r="AM53" s="27">
        <v>150</v>
      </c>
      <c r="AN53" s="29">
        <v>2.2000000000000002</v>
      </c>
      <c r="AO53" s="38">
        <v>2</v>
      </c>
      <c r="AP53" s="28">
        <v>136</v>
      </c>
      <c r="AQ53" s="2">
        <v>79.099999999999994</v>
      </c>
      <c r="AR53" s="29">
        <v>1.92</v>
      </c>
      <c r="AS53" s="28">
        <v>0.1</v>
      </c>
      <c r="AT53" s="13">
        <v>1</v>
      </c>
      <c r="AU53" s="29">
        <v>1.4</v>
      </c>
      <c r="AV53" s="2">
        <v>1</v>
      </c>
      <c r="AW53" s="2">
        <v>1</v>
      </c>
    </row>
    <row r="54" spans="1:49" x14ac:dyDescent="0.2">
      <c r="A54" s="3">
        <v>319</v>
      </c>
      <c r="B54" t="s">
        <v>25</v>
      </c>
      <c r="C54" s="2">
        <v>48.8</v>
      </c>
      <c r="D54" s="4">
        <v>2</v>
      </c>
      <c r="E54" s="4">
        <v>2</v>
      </c>
      <c r="F54" s="5">
        <v>1</v>
      </c>
      <c r="G54" s="5">
        <v>25.5</v>
      </c>
      <c r="H54">
        <v>1</v>
      </c>
      <c r="I54" t="s">
        <v>26</v>
      </c>
      <c r="J54" s="2">
        <v>1</v>
      </c>
      <c r="K54">
        <v>10</v>
      </c>
      <c r="M54" s="2">
        <v>3.8</v>
      </c>
      <c r="N54">
        <v>1</v>
      </c>
      <c r="O54">
        <v>2</v>
      </c>
      <c r="P54">
        <v>2</v>
      </c>
      <c r="T54" s="1"/>
      <c r="U54" s="1"/>
      <c r="V54" s="13"/>
      <c r="W54" s="1"/>
      <c r="Y54" s="4">
        <v>1</v>
      </c>
      <c r="Z54">
        <v>2</v>
      </c>
      <c r="AA54">
        <v>3</v>
      </c>
      <c r="AB54">
        <v>1</v>
      </c>
      <c r="AC54" s="2">
        <v>1</v>
      </c>
      <c r="AD54" s="19"/>
      <c r="AE54" s="2">
        <v>1</v>
      </c>
      <c r="AF54" s="2">
        <v>1</v>
      </c>
      <c r="AG54" s="13">
        <v>150</v>
      </c>
      <c r="AH54" s="13">
        <v>0.1</v>
      </c>
      <c r="AI54" s="4">
        <v>2</v>
      </c>
      <c r="AJ54" s="15">
        <v>1604</v>
      </c>
      <c r="AK54" s="2">
        <v>1</v>
      </c>
      <c r="AL54" s="3">
        <v>100</v>
      </c>
      <c r="AM54" s="26">
        <v>150</v>
      </c>
      <c r="AN54" s="29"/>
      <c r="AO54" s="39"/>
      <c r="AP54" s="28"/>
      <c r="AQ54" s="2">
        <v>116.2</v>
      </c>
      <c r="AR54" s="29">
        <v>106</v>
      </c>
      <c r="AS54" s="34">
        <f>0.1/2</f>
        <v>0.05</v>
      </c>
      <c r="AT54" s="13">
        <v>1</v>
      </c>
      <c r="AU54" s="29">
        <v>20</v>
      </c>
      <c r="AV54" s="2">
        <v>1</v>
      </c>
      <c r="AW54" s="2">
        <v>1</v>
      </c>
    </row>
    <row r="55" spans="1:49" x14ac:dyDescent="0.2">
      <c r="A55" s="3">
        <v>184</v>
      </c>
      <c r="B55" t="s">
        <v>25</v>
      </c>
      <c r="C55" s="2">
        <v>35.1</v>
      </c>
      <c r="D55" s="4">
        <v>2</v>
      </c>
      <c r="E55" s="4">
        <v>2</v>
      </c>
      <c r="F55" s="5">
        <v>1</v>
      </c>
      <c r="G55" s="5">
        <v>27.6</v>
      </c>
      <c r="H55">
        <v>2</v>
      </c>
      <c r="I55" t="s">
        <v>28</v>
      </c>
      <c r="J55" s="2">
        <v>1</v>
      </c>
      <c r="K55">
        <v>3</v>
      </c>
      <c r="M55" s="2">
        <v>1.3</v>
      </c>
      <c r="N55">
        <v>2</v>
      </c>
      <c r="O55">
        <v>1</v>
      </c>
      <c r="P55">
        <v>2</v>
      </c>
      <c r="Q55">
        <v>1</v>
      </c>
      <c r="R55">
        <v>2</v>
      </c>
      <c r="S55">
        <v>1</v>
      </c>
      <c r="T55" s="3">
        <v>25</v>
      </c>
      <c r="U55" s="3">
        <v>5</v>
      </c>
      <c r="V55" s="13">
        <v>20</v>
      </c>
      <c r="W55" s="2">
        <v>2</v>
      </c>
      <c r="X55">
        <v>2</v>
      </c>
      <c r="Y55" s="4">
        <v>2</v>
      </c>
      <c r="Z55">
        <v>1</v>
      </c>
      <c r="AA55">
        <v>2</v>
      </c>
      <c r="AB55">
        <v>1</v>
      </c>
      <c r="AC55" s="2">
        <v>1</v>
      </c>
      <c r="AD55" s="19"/>
      <c r="AE55" s="2">
        <v>2</v>
      </c>
      <c r="AF55" s="2">
        <v>3</v>
      </c>
      <c r="AG55" s="13">
        <v>1.45</v>
      </c>
      <c r="AH55" s="15">
        <v>0.6</v>
      </c>
      <c r="AI55" s="4">
        <v>1</v>
      </c>
      <c r="AJ55" s="24">
        <v>10</v>
      </c>
      <c r="AK55" s="2">
        <v>1</v>
      </c>
      <c r="AL55" s="3">
        <v>100</v>
      </c>
      <c r="AM55" s="26">
        <v>66</v>
      </c>
      <c r="AN55" s="29">
        <v>7.6</v>
      </c>
      <c r="AO55" s="38">
        <v>1</v>
      </c>
      <c r="AP55" s="34">
        <v>10</v>
      </c>
      <c r="AQ55" s="2">
        <v>43.5</v>
      </c>
      <c r="AR55" s="29">
        <v>0.03</v>
      </c>
      <c r="AS55" s="28">
        <v>0.1</v>
      </c>
      <c r="AT55" s="13">
        <v>1</v>
      </c>
      <c r="AU55" s="29">
        <v>1.3</v>
      </c>
      <c r="AV55" s="2">
        <v>1</v>
      </c>
      <c r="AW55" s="2">
        <v>1</v>
      </c>
    </row>
    <row r="56" spans="1:49" x14ac:dyDescent="0.2">
      <c r="A56" s="3">
        <v>58</v>
      </c>
      <c r="B56" t="s">
        <v>25</v>
      </c>
      <c r="C56" s="2">
        <v>40.6</v>
      </c>
      <c r="D56" s="4">
        <v>2</v>
      </c>
      <c r="E56" s="4">
        <v>2</v>
      </c>
      <c r="F56" s="5">
        <v>2</v>
      </c>
      <c r="G56" s="5">
        <v>34.799999999999997</v>
      </c>
      <c r="H56">
        <v>1</v>
      </c>
      <c r="I56" t="s">
        <v>26</v>
      </c>
      <c r="J56" s="2">
        <v>1</v>
      </c>
      <c r="K56">
        <v>4</v>
      </c>
      <c r="M56" s="2">
        <v>1.7</v>
      </c>
      <c r="N56">
        <v>1</v>
      </c>
      <c r="O56">
        <v>1</v>
      </c>
      <c r="P56">
        <v>2</v>
      </c>
      <c r="Q56">
        <v>2</v>
      </c>
      <c r="R56">
        <v>2</v>
      </c>
      <c r="S56">
        <v>2</v>
      </c>
      <c r="T56" s="1"/>
      <c r="U56" s="1"/>
      <c r="V56" s="13"/>
      <c r="W56" s="1"/>
      <c r="Y56" s="4">
        <v>1</v>
      </c>
      <c r="Z56">
        <v>1</v>
      </c>
      <c r="AA56">
        <v>0</v>
      </c>
      <c r="AB56">
        <v>1</v>
      </c>
      <c r="AC56" s="2">
        <v>1</v>
      </c>
      <c r="AD56" s="19"/>
      <c r="AE56" s="2">
        <v>1</v>
      </c>
      <c r="AF56" s="2">
        <v>2</v>
      </c>
      <c r="AG56" s="13">
        <v>0.25</v>
      </c>
      <c r="AH56" s="15">
        <v>0.1</v>
      </c>
      <c r="AI56" s="4">
        <v>2</v>
      </c>
      <c r="AJ56" s="15">
        <v>2791</v>
      </c>
      <c r="AK56" s="2">
        <v>0</v>
      </c>
      <c r="AL56" s="1"/>
      <c r="AM56" s="26"/>
      <c r="AN56" s="29"/>
      <c r="AO56" s="39"/>
      <c r="AP56" s="28"/>
      <c r="AQ56" s="2">
        <v>66.900000000000006</v>
      </c>
      <c r="AR56" s="29">
        <v>0.81</v>
      </c>
      <c r="AS56" s="28">
        <v>0.95</v>
      </c>
      <c r="AT56" s="13">
        <v>2</v>
      </c>
      <c r="AU56" s="29">
        <v>112.4</v>
      </c>
      <c r="AV56" s="2">
        <v>2</v>
      </c>
      <c r="AW56" s="2">
        <v>1</v>
      </c>
    </row>
    <row r="57" spans="1:49" x14ac:dyDescent="0.2">
      <c r="A57" s="3">
        <v>165</v>
      </c>
      <c r="B57" t="s">
        <v>25</v>
      </c>
      <c r="C57" s="2">
        <v>63.2</v>
      </c>
      <c r="D57" s="4">
        <v>2</v>
      </c>
      <c r="E57" s="4">
        <v>2</v>
      </c>
      <c r="F57" s="5">
        <v>1</v>
      </c>
      <c r="G57" s="5">
        <v>26.4</v>
      </c>
      <c r="H57">
        <v>1</v>
      </c>
      <c r="I57" t="s">
        <v>26</v>
      </c>
      <c r="J57" s="2">
        <v>1</v>
      </c>
      <c r="K57">
        <v>3</v>
      </c>
      <c r="M57" s="2">
        <v>1.5</v>
      </c>
      <c r="N57">
        <v>2</v>
      </c>
      <c r="O57">
        <v>2</v>
      </c>
      <c r="P57">
        <v>2</v>
      </c>
      <c r="Q57">
        <v>1</v>
      </c>
      <c r="R57">
        <v>1</v>
      </c>
      <c r="S57">
        <v>2</v>
      </c>
      <c r="T57" s="1"/>
      <c r="U57" s="1"/>
      <c r="V57" s="13"/>
      <c r="W57" s="1"/>
      <c r="Y57" s="4">
        <v>2</v>
      </c>
      <c r="Z57">
        <v>1</v>
      </c>
      <c r="AA57">
        <v>0</v>
      </c>
      <c r="AB57">
        <v>1</v>
      </c>
      <c r="AC57" s="2">
        <v>1</v>
      </c>
      <c r="AD57" s="6">
        <v>1</v>
      </c>
      <c r="AE57" s="2">
        <v>2</v>
      </c>
      <c r="AF57" s="2">
        <v>3</v>
      </c>
      <c r="AG57" s="13">
        <v>7.0000000000000007E-2</v>
      </c>
      <c r="AH57" s="15">
        <v>0.14000000000000001</v>
      </c>
      <c r="AI57" s="4">
        <v>1</v>
      </c>
      <c r="AJ57" s="24">
        <v>10</v>
      </c>
      <c r="AK57" s="2">
        <v>1</v>
      </c>
      <c r="AL57" s="3">
        <v>30</v>
      </c>
      <c r="AM57" s="27">
        <v>47.6</v>
      </c>
      <c r="AN57" s="28">
        <v>0.89</v>
      </c>
      <c r="AO57" s="38">
        <v>1</v>
      </c>
      <c r="AP57" s="34">
        <v>5</v>
      </c>
      <c r="AQ57" s="2">
        <v>75.599999999999994</v>
      </c>
      <c r="AR57" s="29">
        <v>0.43</v>
      </c>
      <c r="AS57" s="28">
        <v>0.1</v>
      </c>
      <c r="AT57" s="13">
        <v>1</v>
      </c>
      <c r="AU57" s="29">
        <v>1.3</v>
      </c>
      <c r="AV57" s="2">
        <v>1</v>
      </c>
      <c r="AW57" s="2">
        <v>1</v>
      </c>
    </row>
    <row r="58" spans="1:49" x14ac:dyDescent="0.2">
      <c r="A58" s="3">
        <v>268</v>
      </c>
      <c r="B58" t="s">
        <v>25</v>
      </c>
      <c r="C58" s="2">
        <v>47.1</v>
      </c>
      <c r="D58" s="4">
        <v>2</v>
      </c>
      <c r="E58" s="4">
        <v>2</v>
      </c>
      <c r="F58" s="5">
        <v>1</v>
      </c>
      <c r="G58" s="5">
        <v>32.9</v>
      </c>
      <c r="H58">
        <v>2</v>
      </c>
      <c r="I58" t="s">
        <v>26</v>
      </c>
      <c r="J58" s="2">
        <v>1</v>
      </c>
      <c r="K58">
        <v>3</v>
      </c>
      <c r="M58" s="2">
        <v>1.1000000000000001</v>
      </c>
      <c r="N58">
        <v>1</v>
      </c>
      <c r="O58">
        <v>2</v>
      </c>
      <c r="P58">
        <v>2</v>
      </c>
      <c r="Q58">
        <v>2</v>
      </c>
      <c r="R58">
        <v>2</v>
      </c>
      <c r="S58">
        <v>2</v>
      </c>
      <c r="T58" s="1"/>
      <c r="U58" s="1"/>
      <c r="V58" s="13"/>
      <c r="W58" s="1"/>
      <c r="Y58" s="4">
        <v>2</v>
      </c>
      <c r="Z58">
        <v>1</v>
      </c>
      <c r="AA58">
        <v>0</v>
      </c>
      <c r="AB58">
        <v>1</v>
      </c>
      <c r="AC58" s="2">
        <v>1</v>
      </c>
      <c r="AD58" s="19"/>
      <c r="AE58" s="2">
        <v>1</v>
      </c>
      <c r="AF58" s="2">
        <v>1</v>
      </c>
      <c r="AG58" s="13">
        <v>0.02</v>
      </c>
      <c r="AH58" s="15">
        <v>0.15</v>
      </c>
      <c r="AI58" s="4">
        <v>1</v>
      </c>
      <c r="AJ58" s="24">
        <v>10</v>
      </c>
      <c r="AK58" s="2">
        <v>0</v>
      </c>
      <c r="AL58" s="1"/>
      <c r="AM58" s="26"/>
      <c r="AN58" s="29"/>
      <c r="AO58" s="39"/>
      <c r="AP58" s="28"/>
      <c r="AQ58" s="2">
        <v>13.6</v>
      </c>
      <c r="AR58" s="29">
        <v>0.16</v>
      </c>
      <c r="AS58" s="28">
        <v>0.1</v>
      </c>
      <c r="AT58" s="13">
        <v>1</v>
      </c>
      <c r="AU58" s="29">
        <v>20</v>
      </c>
      <c r="AV58" s="2">
        <v>1</v>
      </c>
      <c r="AW58" s="2">
        <v>1</v>
      </c>
    </row>
    <row r="59" spans="1:49" x14ac:dyDescent="0.2">
      <c r="A59" s="3">
        <v>360</v>
      </c>
      <c r="B59" t="s">
        <v>25</v>
      </c>
      <c r="C59" s="2">
        <v>61.9</v>
      </c>
      <c r="D59" s="4">
        <v>2</v>
      </c>
      <c r="E59" s="4">
        <v>2</v>
      </c>
      <c r="F59" s="5">
        <v>2</v>
      </c>
      <c r="G59" s="5">
        <v>37.200000000000003</v>
      </c>
      <c r="H59">
        <v>2</v>
      </c>
      <c r="I59" t="s">
        <v>26</v>
      </c>
      <c r="J59" s="2">
        <v>1</v>
      </c>
      <c r="K59">
        <v>1</v>
      </c>
      <c r="M59" s="2">
        <v>1.8</v>
      </c>
      <c r="N59">
        <v>1</v>
      </c>
      <c r="O59">
        <v>2</v>
      </c>
      <c r="P59">
        <v>2</v>
      </c>
      <c r="Q59">
        <v>2</v>
      </c>
      <c r="R59">
        <v>2</v>
      </c>
      <c r="S59">
        <v>2</v>
      </c>
      <c r="T59" s="1"/>
      <c r="U59" s="1"/>
      <c r="V59" s="13"/>
      <c r="W59" s="1"/>
      <c r="Y59" s="4"/>
      <c r="Z59">
        <v>1</v>
      </c>
      <c r="AA59">
        <v>0</v>
      </c>
      <c r="AB59">
        <v>1</v>
      </c>
      <c r="AC59" s="2">
        <v>1</v>
      </c>
      <c r="AD59" s="19"/>
      <c r="AE59" s="2">
        <v>1</v>
      </c>
      <c r="AF59" s="2">
        <v>1</v>
      </c>
      <c r="AG59" s="13">
        <v>4.24</v>
      </c>
      <c r="AH59" s="15">
        <v>0.16</v>
      </c>
      <c r="AI59" s="4">
        <v>1</v>
      </c>
      <c r="AJ59" s="24">
        <v>10</v>
      </c>
      <c r="AK59" s="2">
        <v>0</v>
      </c>
      <c r="AL59" s="1"/>
      <c r="AM59" s="26"/>
      <c r="AN59" s="29"/>
      <c r="AO59" s="39"/>
      <c r="AP59" s="28"/>
      <c r="AQ59" s="2">
        <v>40.1</v>
      </c>
      <c r="AR59" s="29">
        <v>0.38</v>
      </c>
      <c r="AS59" s="34">
        <f>0.1/2</f>
        <v>0.05</v>
      </c>
      <c r="AT59" s="13">
        <v>1</v>
      </c>
      <c r="AU59" s="29">
        <v>1.3</v>
      </c>
      <c r="AV59" s="2">
        <v>1</v>
      </c>
      <c r="AW59" s="2">
        <v>1</v>
      </c>
    </row>
    <row r="60" spans="1:49" x14ac:dyDescent="0.2">
      <c r="A60" s="3">
        <v>397</v>
      </c>
      <c r="B60" t="s">
        <v>25</v>
      </c>
      <c r="C60" s="2">
        <v>48.5</v>
      </c>
      <c r="D60" s="4">
        <v>2</v>
      </c>
      <c r="E60" s="4">
        <v>2</v>
      </c>
      <c r="F60" s="5">
        <v>2</v>
      </c>
      <c r="G60" s="5">
        <v>36.4</v>
      </c>
      <c r="H60">
        <v>1</v>
      </c>
      <c r="I60" t="s">
        <v>26</v>
      </c>
      <c r="J60" s="2">
        <v>1</v>
      </c>
      <c r="K60">
        <v>1</v>
      </c>
      <c r="M60" s="2">
        <v>3.8</v>
      </c>
      <c r="N60">
        <v>1</v>
      </c>
      <c r="O60">
        <v>2</v>
      </c>
      <c r="P60">
        <v>2</v>
      </c>
      <c r="Q60">
        <v>1</v>
      </c>
      <c r="R60">
        <v>2</v>
      </c>
      <c r="S60">
        <v>2</v>
      </c>
      <c r="T60" s="1"/>
      <c r="U60" s="1"/>
      <c r="V60" s="13"/>
      <c r="W60" s="1"/>
      <c r="Y60" s="4">
        <v>1</v>
      </c>
      <c r="Z60">
        <v>2</v>
      </c>
      <c r="AA60">
        <v>0</v>
      </c>
      <c r="AB60">
        <v>1</v>
      </c>
      <c r="AC60" s="2">
        <v>1</v>
      </c>
      <c r="AD60" s="19"/>
      <c r="AE60" s="2">
        <v>2</v>
      </c>
      <c r="AF60" s="2">
        <v>3</v>
      </c>
      <c r="AG60" s="13">
        <v>7.0000000000000007E-2</v>
      </c>
      <c r="AH60" s="13">
        <v>0.2</v>
      </c>
      <c r="AI60" s="4">
        <v>1</v>
      </c>
      <c r="AJ60" s="15">
        <v>4.0999999999999996</v>
      </c>
      <c r="AK60" s="2">
        <v>1</v>
      </c>
      <c r="AL60" s="3">
        <v>30</v>
      </c>
      <c r="AM60" s="26">
        <v>150</v>
      </c>
      <c r="AN60" s="29"/>
      <c r="AO60" s="39"/>
      <c r="AP60" s="28"/>
      <c r="AQ60" s="2">
        <v>41.1</v>
      </c>
      <c r="AR60" s="29">
        <v>0.56999999999999995</v>
      </c>
      <c r="AS60" s="34">
        <v>0.05</v>
      </c>
      <c r="AT60" s="13">
        <v>2</v>
      </c>
      <c r="AU60" s="29">
        <v>4.5</v>
      </c>
      <c r="AV60" s="2">
        <v>2</v>
      </c>
      <c r="AW60" s="2">
        <v>2</v>
      </c>
    </row>
    <row r="61" spans="1:49" x14ac:dyDescent="0.2">
      <c r="A61" s="3">
        <v>18</v>
      </c>
      <c r="B61" t="s">
        <v>25</v>
      </c>
      <c r="C61" s="2">
        <v>24.5</v>
      </c>
      <c r="D61" s="4">
        <v>2</v>
      </c>
      <c r="E61" s="4">
        <v>2</v>
      </c>
      <c r="F61" s="5">
        <v>1</v>
      </c>
      <c r="G61" s="5">
        <v>27.6</v>
      </c>
      <c r="H61">
        <v>2</v>
      </c>
      <c r="I61" t="s">
        <v>26</v>
      </c>
      <c r="J61" s="2">
        <v>1</v>
      </c>
      <c r="K61">
        <v>4</v>
      </c>
      <c r="M61" s="2">
        <v>1.3</v>
      </c>
      <c r="N61">
        <v>2</v>
      </c>
      <c r="O61">
        <v>1</v>
      </c>
      <c r="P61">
        <v>2</v>
      </c>
      <c r="Q61">
        <v>1</v>
      </c>
      <c r="R61">
        <v>2</v>
      </c>
      <c r="S61">
        <v>1</v>
      </c>
      <c r="T61" s="3">
        <v>15</v>
      </c>
      <c r="U61" s="3">
        <v>8</v>
      </c>
      <c r="V61" s="13">
        <v>53.33</v>
      </c>
      <c r="W61" s="2">
        <v>1.5</v>
      </c>
      <c r="Y61" s="4">
        <v>2</v>
      </c>
      <c r="Z61">
        <v>1</v>
      </c>
      <c r="AA61">
        <v>2</v>
      </c>
      <c r="AB61">
        <v>1</v>
      </c>
      <c r="AC61" s="2">
        <v>1</v>
      </c>
      <c r="AD61" s="6">
        <v>1</v>
      </c>
      <c r="AE61" s="2">
        <v>2</v>
      </c>
      <c r="AF61" s="2">
        <v>3</v>
      </c>
      <c r="AG61" s="13">
        <v>0.34</v>
      </c>
      <c r="AH61" s="15">
        <v>0.62</v>
      </c>
      <c r="AI61" s="4">
        <v>1</v>
      </c>
      <c r="AJ61" s="24">
        <v>10</v>
      </c>
      <c r="AK61" s="2">
        <v>1</v>
      </c>
      <c r="AL61" s="3">
        <v>100</v>
      </c>
      <c r="AM61" s="26">
        <v>33.39</v>
      </c>
      <c r="AN61" s="29">
        <v>3.31</v>
      </c>
      <c r="AO61" s="38">
        <v>1</v>
      </c>
      <c r="AP61" s="34">
        <v>10</v>
      </c>
      <c r="AQ61" s="2">
        <v>78.400000000000006</v>
      </c>
      <c r="AR61" s="32">
        <v>0.52</v>
      </c>
      <c r="AS61" s="28">
        <v>0.11</v>
      </c>
      <c r="AT61" s="13">
        <v>1</v>
      </c>
      <c r="AU61" s="29">
        <v>1.9</v>
      </c>
      <c r="AV61" s="2">
        <v>1</v>
      </c>
      <c r="AW61" s="2">
        <v>1</v>
      </c>
    </row>
    <row r="62" spans="1:49" x14ac:dyDescent="0.2">
      <c r="A62" s="3">
        <v>238</v>
      </c>
      <c r="B62" t="s">
        <v>25</v>
      </c>
      <c r="C62" s="2">
        <v>58.6</v>
      </c>
      <c r="D62" s="4">
        <v>2</v>
      </c>
      <c r="E62" s="4">
        <v>2</v>
      </c>
      <c r="F62" s="5"/>
      <c r="G62" s="5"/>
      <c r="H62">
        <v>1</v>
      </c>
      <c r="I62" t="s">
        <v>26</v>
      </c>
      <c r="J62" s="2">
        <v>1</v>
      </c>
      <c r="K62">
        <v>3</v>
      </c>
      <c r="M62" s="2">
        <v>0.4</v>
      </c>
      <c r="N62">
        <v>1</v>
      </c>
      <c r="O62">
        <v>1</v>
      </c>
      <c r="P62">
        <v>1</v>
      </c>
      <c r="Q62">
        <v>2</v>
      </c>
      <c r="R62">
        <v>2</v>
      </c>
      <c r="S62">
        <v>2</v>
      </c>
      <c r="T62" s="1"/>
      <c r="U62" s="1"/>
      <c r="V62" s="15"/>
      <c r="W62" s="1"/>
      <c r="Y62" s="4">
        <v>2</v>
      </c>
      <c r="Z62">
        <v>1</v>
      </c>
      <c r="AA62">
        <v>0</v>
      </c>
      <c r="AB62">
        <v>1</v>
      </c>
      <c r="AC62" s="2">
        <v>1</v>
      </c>
      <c r="AD62" s="19"/>
      <c r="AE62" s="2">
        <v>1</v>
      </c>
      <c r="AF62" s="2">
        <v>1</v>
      </c>
      <c r="AG62" s="13">
        <v>0.24</v>
      </c>
      <c r="AH62" s="15">
        <v>0.27</v>
      </c>
      <c r="AI62" s="4">
        <v>1</v>
      </c>
      <c r="AJ62" s="24">
        <v>10</v>
      </c>
      <c r="AK62" s="2">
        <v>0</v>
      </c>
      <c r="AL62" s="1"/>
      <c r="AM62" s="26"/>
      <c r="AN62" s="29"/>
      <c r="AO62" s="39"/>
      <c r="AP62" s="28"/>
      <c r="AQ62" s="2">
        <v>35.700000000000003</v>
      </c>
      <c r="AR62" s="29">
        <v>0.04</v>
      </c>
      <c r="AS62" s="34">
        <v>0.1</v>
      </c>
      <c r="AT62" s="13">
        <v>1</v>
      </c>
      <c r="AU62" s="29">
        <v>20</v>
      </c>
      <c r="AV62" s="2">
        <v>1</v>
      </c>
      <c r="AW62" s="2">
        <v>1</v>
      </c>
    </row>
    <row r="63" spans="1:49" x14ac:dyDescent="0.2">
      <c r="A63" s="3">
        <v>391</v>
      </c>
      <c r="B63" t="s">
        <v>25</v>
      </c>
      <c r="C63" s="2">
        <v>62.9</v>
      </c>
      <c r="D63" s="4">
        <v>2</v>
      </c>
      <c r="E63" s="4">
        <v>2</v>
      </c>
      <c r="F63" s="5">
        <v>1</v>
      </c>
      <c r="G63" s="5">
        <v>30.5</v>
      </c>
      <c r="H63">
        <v>1</v>
      </c>
      <c r="I63" t="s">
        <v>26</v>
      </c>
      <c r="J63" s="2">
        <v>1</v>
      </c>
      <c r="K63">
        <v>3</v>
      </c>
      <c r="M63" s="2">
        <v>1</v>
      </c>
      <c r="N63">
        <v>1</v>
      </c>
      <c r="O63">
        <v>2</v>
      </c>
      <c r="P63">
        <v>2</v>
      </c>
      <c r="Q63">
        <v>2</v>
      </c>
      <c r="R63">
        <v>2</v>
      </c>
      <c r="S63">
        <v>2</v>
      </c>
      <c r="T63" s="1"/>
      <c r="U63" s="1"/>
      <c r="V63" s="15"/>
      <c r="W63" s="1"/>
      <c r="Y63" s="4">
        <v>2</v>
      </c>
      <c r="Z63">
        <v>1</v>
      </c>
      <c r="AA63">
        <v>0</v>
      </c>
      <c r="AB63">
        <v>1</v>
      </c>
      <c r="AC63" s="2">
        <v>1</v>
      </c>
      <c r="AD63" s="19"/>
      <c r="AE63" s="2">
        <v>1</v>
      </c>
      <c r="AF63" s="2">
        <v>1</v>
      </c>
      <c r="AG63" s="13">
        <v>1.29</v>
      </c>
      <c r="AH63" s="13">
        <v>0.27</v>
      </c>
      <c r="AI63" s="4">
        <v>1</v>
      </c>
      <c r="AJ63" s="24">
        <v>10</v>
      </c>
      <c r="AK63" s="2">
        <v>0</v>
      </c>
      <c r="AL63" s="1"/>
      <c r="AM63" s="26"/>
      <c r="AN63" s="29"/>
      <c r="AO63" s="39"/>
      <c r="AP63" s="28"/>
      <c r="AQ63" s="2">
        <v>21.8</v>
      </c>
      <c r="AR63" s="29">
        <v>1.29</v>
      </c>
      <c r="AS63" s="28">
        <v>0.27</v>
      </c>
      <c r="AT63" s="13">
        <v>1</v>
      </c>
      <c r="AU63" s="29">
        <v>20</v>
      </c>
      <c r="AV63" s="2">
        <v>2</v>
      </c>
      <c r="AW63" s="2">
        <v>1</v>
      </c>
    </row>
    <row r="64" spans="1:49" x14ac:dyDescent="0.2">
      <c r="A64" s="3">
        <v>290</v>
      </c>
      <c r="B64" t="s">
        <v>25</v>
      </c>
      <c r="C64" s="2">
        <v>31.2</v>
      </c>
      <c r="D64" s="6">
        <v>2</v>
      </c>
      <c r="E64" s="6">
        <v>1</v>
      </c>
      <c r="F64" s="7">
        <v>1</v>
      </c>
      <c r="G64" s="7">
        <v>27.2</v>
      </c>
      <c r="H64">
        <v>2</v>
      </c>
      <c r="I64" t="s">
        <v>28</v>
      </c>
      <c r="J64" s="2">
        <v>1</v>
      </c>
      <c r="K64">
        <v>3</v>
      </c>
      <c r="M64" s="2">
        <v>0.7</v>
      </c>
      <c r="N64">
        <v>2</v>
      </c>
      <c r="O64">
        <v>2</v>
      </c>
      <c r="P64">
        <v>2</v>
      </c>
      <c r="Q64">
        <v>1</v>
      </c>
      <c r="R64">
        <v>2</v>
      </c>
      <c r="T64" s="1"/>
      <c r="U64" s="1"/>
      <c r="V64" s="14"/>
      <c r="W64" s="1"/>
      <c r="Y64" s="6">
        <v>2</v>
      </c>
      <c r="Z64">
        <v>1</v>
      </c>
      <c r="AA64">
        <v>3</v>
      </c>
      <c r="AB64">
        <v>1</v>
      </c>
      <c r="AC64" s="2">
        <v>1</v>
      </c>
      <c r="AD64" s="6">
        <v>0</v>
      </c>
      <c r="AE64" s="2">
        <v>2</v>
      </c>
      <c r="AF64" s="2">
        <v>3</v>
      </c>
      <c r="AG64" s="14">
        <v>1.54</v>
      </c>
      <c r="AH64" s="17">
        <v>0.3</v>
      </c>
      <c r="AI64" s="6">
        <v>1</v>
      </c>
      <c r="AJ64" s="17">
        <v>10</v>
      </c>
      <c r="AK64" s="2">
        <v>1</v>
      </c>
      <c r="AL64" s="3">
        <v>100</v>
      </c>
      <c r="AM64" s="26">
        <v>150</v>
      </c>
      <c r="AN64" s="32">
        <v>0.7</v>
      </c>
      <c r="AO64" s="40">
        <v>1</v>
      </c>
      <c r="AP64" s="31">
        <v>10</v>
      </c>
      <c r="AQ64" s="2">
        <v>82.5</v>
      </c>
      <c r="AR64" s="32">
        <v>3.57</v>
      </c>
      <c r="AS64" s="31">
        <v>0.05</v>
      </c>
      <c r="AT64" s="14">
        <v>1</v>
      </c>
      <c r="AU64" s="32">
        <v>2.1</v>
      </c>
      <c r="AV64" s="2">
        <v>1</v>
      </c>
      <c r="AW64" s="2">
        <v>1</v>
      </c>
    </row>
    <row r="65" spans="1:49" x14ac:dyDescent="0.2">
      <c r="A65" s="3">
        <v>118</v>
      </c>
      <c r="B65" t="s">
        <v>27</v>
      </c>
      <c r="C65" s="2">
        <v>39.9</v>
      </c>
      <c r="D65" s="4">
        <v>2</v>
      </c>
      <c r="E65" s="4">
        <v>2</v>
      </c>
      <c r="F65" s="5">
        <v>1</v>
      </c>
      <c r="G65" s="5">
        <v>34.1</v>
      </c>
      <c r="H65">
        <v>2</v>
      </c>
      <c r="I65" t="s">
        <v>26</v>
      </c>
      <c r="J65" s="2">
        <v>1</v>
      </c>
      <c r="K65">
        <v>1</v>
      </c>
      <c r="M65" s="2">
        <v>2.2999999999999998</v>
      </c>
      <c r="N65">
        <v>2</v>
      </c>
      <c r="O65">
        <v>1</v>
      </c>
      <c r="P65">
        <v>1</v>
      </c>
      <c r="Q65">
        <v>1</v>
      </c>
      <c r="R65">
        <v>2</v>
      </c>
      <c r="S65">
        <v>1</v>
      </c>
      <c r="T65" s="3">
        <v>31</v>
      </c>
      <c r="U65" s="3">
        <v>12</v>
      </c>
      <c r="V65" s="13">
        <v>38.71</v>
      </c>
      <c r="W65" s="2">
        <v>3.2</v>
      </c>
      <c r="X65">
        <v>2</v>
      </c>
      <c r="Y65" s="4">
        <v>2</v>
      </c>
      <c r="Z65">
        <v>2</v>
      </c>
      <c r="AA65">
        <v>2</v>
      </c>
      <c r="AB65">
        <v>1</v>
      </c>
      <c r="AC65" s="2">
        <v>1</v>
      </c>
      <c r="AD65" s="6">
        <v>1</v>
      </c>
      <c r="AE65" s="2">
        <v>3</v>
      </c>
      <c r="AF65" s="2">
        <v>4</v>
      </c>
      <c r="AG65" s="13">
        <v>0.02</v>
      </c>
      <c r="AH65" s="15">
        <v>0.69</v>
      </c>
      <c r="AI65" s="4">
        <v>1</v>
      </c>
      <c r="AJ65" s="24">
        <v>10</v>
      </c>
      <c r="AK65" s="2">
        <v>1</v>
      </c>
      <c r="AL65" s="3">
        <v>150</v>
      </c>
      <c r="AM65" s="26">
        <v>124.09</v>
      </c>
      <c r="AN65" s="29">
        <v>0.79</v>
      </c>
      <c r="AO65" s="38">
        <v>1</v>
      </c>
      <c r="AP65" s="34">
        <v>10</v>
      </c>
      <c r="AQ65" s="2">
        <v>61.7</v>
      </c>
      <c r="AR65" s="29">
        <v>0.06</v>
      </c>
      <c r="AS65" s="28">
        <v>0.11</v>
      </c>
      <c r="AT65" s="13">
        <v>1</v>
      </c>
      <c r="AU65" s="29">
        <v>2.1</v>
      </c>
      <c r="AV65" s="2">
        <v>1</v>
      </c>
      <c r="AW65" s="2">
        <v>1</v>
      </c>
    </row>
    <row r="66" spans="1:49" x14ac:dyDescent="0.2">
      <c r="A66" s="3">
        <v>317</v>
      </c>
      <c r="B66" t="s">
        <v>25</v>
      </c>
      <c r="C66" s="2">
        <v>68.900000000000006</v>
      </c>
      <c r="D66" s="4">
        <v>2</v>
      </c>
      <c r="E66" s="4">
        <v>2</v>
      </c>
      <c r="F66" s="5"/>
      <c r="G66" s="5">
        <v>30.8</v>
      </c>
      <c r="H66">
        <v>1</v>
      </c>
      <c r="I66" t="s">
        <v>26</v>
      </c>
      <c r="J66" s="2">
        <v>1</v>
      </c>
      <c r="K66">
        <v>7</v>
      </c>
      <c r="M66" s="2">
        <v>0.6</v>
      </c>
      <c r="N66">
        <v>1</v>
      </c>
      <c r="O66">
        <v>2</v>
      </c>
      <c r="P66">
        <v>2</v>
      </c>
      <c r="Q66">
        <v>2</v>
      </c>
      <c r="R66">
        <v>2</v>
      </c>
      <c r="S66">
        <v>2</v>
      </c>
      <c r="T66" s="1"/>
      <c r="U66" s="1"/>
      <c r="V66" s="13"/>
      <c r="W66" s="1"/>
      <c r="Y66" s="4">
        <v>2</v>
      </c>
      <c r="Z66">
        <v>1</v>
      </c>
      <c r="AA66">
        <v>0</v>
      </c>
      <c r="AB66">
        <v>1</v>
      </c>
      <c r="AC66" s="2">
        <v>1</v>
      </c>
      <c r="AD66" s="19"/>
      <c r="AE66" s="2">
        <v>2</v>
      </c>
      <c r="AF66" s="2">
        <v>3</v>
      </c>
      <c r="AG66" s="13">
        <v>0.15</v>
      </c>
      <c r="AH66" s="13">
        <v>0.3</v>
      </c>
      <c r="AI66" s="4">
        <v>1</v>
      </c>
      <c r="AJ66" s="24">
        <v>10</v>
      </c>
      <c r="AK66" s="2">
        <v>0</v>
      </c>
      <c r="AL66" s="1"/>
      <c r="AM66" s="26"/>
      <c r="AN66" s="29"/>
      <c r="AO66" s="39"/>
      <c r="AP66" s="28"/>
      <c r="AQ66" s="2">
        <v>134</v>
      </c>
      <c r="AR66" s="29">
        <v>22.4</v>
      </c>
      <c r="AS66" s="28">
        <v>2.44</v>
      </c>
      <c r="AT66" s="13">
        <v>1</v>
      </c>
      <c r="AU66" s="29">
        <v>20</v>
      </c>
      <c r="AV66" s="2">
        <v>2</v>
      </c>
      <c r="AW66" s="2">
        <v>1</v>
      </c>
    </row>
    <row r="67" spans="1:49" x14ac:dyDescent="0.2">
      <c r="A67" s="3">
        <v>151</v>
      </c>
      <c r="B67" t="s">
        <v>25</v>
      </c>
      <c r="C67" s="2">
        <v>58.1</v>
      </c>
      <c r="D67" s="4">
        <v>2</v>
      </c>
      <c r="E67" s="4">
        <v>2</v>
      </c>
      <c r="F67" s="5">
        <v>1</v>
      </c>
      <c r="G67" s="5">
        <v>38.6</v>
      </c>
      <c r="H67">
        <v>1</v>
      </c>
      <c r="I67" t="s">
        <v>26</v>
      </c>
      <c r="J67" s="2">
        <v>1</v>
      </c>
      <c r="K67">
        <v>1</v>
      </c>
      <c r="M67" s="2">
        <v>0.3</v>
      </c>
      <c r="N67">
        <v>1</v>
      </c>
      <c r="O67">
        <v>2</v>
      </c>
      <c r="P67">
        <v>2</v>
      </c>
      <c r="T67" s="1"/>
      <c r="U67" s="1"/>
      <c r="V67" s="13"/>
      <c r="W67" s="1"/>
      <c r="Y67" s="4"/>
      <c r="Z67">
        <v>1</v>
      </c>
      <c r="AA67">
        <v>3</v>
      </c>
      <c r="AB67">
        <v>1</v>
      </c>
      <c r="AC67" s="2">
        <v>1</v>
      </c>
      <c r="AD67" s="19"/>
      <c r="AE67" s="2">
        <v>1</v>
      </c>
      <c r="AF67" s="2">
        <v>1</v>
      </c>
      <c r="AG67" s="13">
        <v>0.25</v>
      </c>
      <c r="AH67" s="15">
        <v>0.3</v>
      </c>
      <c r="AI67" s="4"/>
      <c r="AJ67" s="35"/>
      <c r="AK67" s="2">
        <v>0</v>
      </c>
      <c r="AL67" s="1"/>
      <c r="AM67" s="26"/>
      <c r="AN67" s="29"/>
      <c r="AO67" s="39"/>
      <c r="AP67" s="28"/>
      <c r="AQ67" s="2">
        <v>151.1</v>
      </c>
      <c r="AR67" s="29">
        <v>3.89</v>
      </c>
      <c r="AS67" s="28">
        <v>1.1000000000000001</v>
      </c>
      <c r="AT67" s="13">
        <v>1</v>
      </c>
      <c r="AU67" s="29">
        <v>20</v>
      </c>
      <c r="AV67" s="2">
        <v>2</v>
      </c>
      <c r="AW67" s="2">
        <v>1</v>
      </c>
    </row>
    <row r="68" spans="1:49" x14ac:dyDescent="0.2">
      <c r="A68" s="3">
        <v>171</v>
      </c>
      <c r="B68" t="s">
        <v>25</v>
      </c>
      <c r="C68" s="2">
        <v>44.6</v>
      </c>
      <c r="D68" s="4">
        <v>2</v>
      </c>
      <c r="E68" s="4">
        <v>2</v>
      </c>
      <c r="F68" s="5">
        <v>1</v>
      </c>
      <c r="G68" s="5">
        <v>38.200000000000003</v>
      </c>
      <c r="H68">
        <v>1</v>
      </c>
      <c r="I68" t="s">
        <v>26</v>
      </c>
      <c r="J68" s="2">
        <v>1</v>
      </c>
      <c r="K68">
        <v>4</v>
      </c>
      <c r="M68" s="2">
        <v>2.8</v>
      </c>
      <c r="N68">
        <v>1</v>
      </c>
      <c r="O68">
        <v>2</v>
      </c>
      <c r="P68">
        <v>2</v>
      </c>
      <c r="Q68">
        <v>1</v>
      </c>
      <c r="R68">
        <v>2</v>
      </c>
      <c r="S68">
        <v>2</v>
      </c>
      <c r="T68" s="1"/>
      <c r="U68" s="1"/>
      <c r="V68" s="13"/>
      <c r="W68" s="1"/>
      <c r="Y68" s="4">
        <v>2</v>
      </c>
      <c r="Z68">
        <v>2</v>
      </c>
      <c r="AA68">
        <v>0</v>
      </c>
      <c r="AB68">
        <v>1</v>
      </c>
      <c r="AC68" s="2">
        <v>1</v>
      </c>
      <c r="AD68" s="6">
        <v>1</v>
      </c>
      <c r="AE68" s="2">
        <v>2</v>
      </c>
      <c r="AF68" s="2">
        <v>3</v>
      </c>
      <c r="AG68" s="13">
        <v>1.35</v>
      </c>
      <c r="AH68" s="15">
        <v>0.32</v>
      </c>
      <c r="AI68" s="4">
        <v>1</v>
      </c>
      <c r="AJ68" s="24">
        <v>10</v>
      </c>
      <c r="AK68" s="2">
        <v>1</v>
      </c>
      <c r="AL68" s="3">
        <v>30</v>
      </c>
      <c r="AM68" s="26">
        <v>102</v>
      </c>
      <c r="AN68" s="28">
        <v>14.2</v>
      </c>
      <c r="AO68" s="38">
        <v>1</v>
      </c>
      <c r="AP68" s="34">
        <v>10</v>
      </c>
      <c r="AQ68" s="2">
        <v>72.3</v>
      </c>
      <c r="AR68" s="29">
        <v>0.31</v>
      </c>
      <c r="AS68" s="28">
        <v>0.16</v>
      </c>
      <c r="AT68" s="13">
        <v>1</v>
      </c>
      <c r="AU68" s="29">
        <v>1.3</v>
      </c>
      <c r="AV68" s="2">
        <v>1</v>
      </c>
      <c r="AW68" s="2">
        <v>1</v>
      </c>
    </row>
    <row r="69" spans="1:49" x14ac:dyDescent="0.2">
      <c r="A69" s="3">
        <v>65</v>
      </c>
      <c r="B69" t="s">
        <v>25</v>
      </c>
      <c r="C69" s="2">
        <v>47.5</v>
      </c>
      <c r="D69" s="4">
        <v>2</v>
      </c>
      <c r="E69" s="4">
        <v>2</v>
      </c>
      <c r="F69" s="5"/>
      <c r="G69" s="5">
        <v>24.2</v>
      </c>
      <c r="H69">
        <v>1</v>
      </c>
      <c r="I69" t="s">
        <v>26</v>
      </c>
      <c r="J69" s="2">
        <v>1</v>
      </c>
      <c r="K69">
        <v>3</v>
      </c>
      <c r="M69" s="2">
        <v>1.2</v>
      </c>
      <c r="N69">
        <v>1</v>
      </c>
      <c r="O69">
        <v>1</v>
      </c>
      <c r="P69">
        <v>2</v>
      </c>
      <c r="Q69">
        <v>2</v>
      </c>
      <c r="R69">
        <v>2</v>
      </c>
      <c r="S69">
        <v>2</v>
      </c>
      <c r="T69" s="1"/>
      <c r="U69" s="1"/>
      <c r="V69" s="13"/>
      <c r="W69" s="1"/>
      <c r="Y69" s="4">
        <v>1</v>
      </c>
      <c r="Z69">
        <v>1</v>
      </c>
      <c r="AA69">
        <v>0</v>
      </c>
      <c r="AB69">
        <v>1</v>
      </c>
      <c r="AC69" s="2">
        <v>1</v>
      </c>
      <c r="AD69" s="6">
        <v>1</v>
      </c>
      <c r="AE69" s="2">
        <v>1</v>
      </c>
      <c r="AF69" s="2">
        <v>2</v>
      </c>
      <c r="AG69" s="13">
        <v>1.99</v>
      </c>
      <c r="AH69" s="15">
        <v>0.32</v>
      </c>
      <c r="AI69" s="4">
        <v>1</v>
      </c>
      <c r="AJ69" s="24">
        <v>10</v>
      </c>
      <c r="AK69" s="2">
        <v>0</v>
      </c>
      <c r="AL69" s="1"/>
      <c r="AM69" s="26"/>
      <c r="AN69" s="28"/>
      <c r="AO69" s="39"/>
      <c r="AP69" s="28"/>
      <c r="AQ69" s="2">
        <v>44.8</v>
      </c>
      <c r="AR69" s="29">
        <v>0.59</v>
      </c>
      <c r="AS69" s="34">
        <f>0.1/2</f>
        <v>0.05</v>
      </c>
      <c r="AT69" s="13">
        <v>1</v>
      </c>
      <c r="AU69" s="29">
        <v>1.7</v>
      </c>
      <c r="AV69" s="2">
        <v>1</v>
      </c>
      <c r="AW69" s="2">
        <v>1</v>
      </c>
    </row>
    <row r="70" spans="1:49" x14ac:dyDescent="0.2">
      <c r="A70" s="3">
        <v>206</v>
      </c>
      <c r="B70" t="s">
        <v>25</v>
      </c>
      <c r="C70" s="2">
        <v>73.3</v>
      </c>
      <c r="D70" s="4">
        <v>2</v>
      </c>
      <c r="E70" s="4">
        <v>2</v>
      </c>
      <c r="F70" s="5">
        <v>2</v>
      </c>
      <c r="G70" s="5">
        <v>40.200000000000003</v>
      </c>
      <c r="H70">
        <v>1</v>
      </c>
      <c r="I70" t="s">
        <v>26</v>
      </c>
      <c r="J70" s="2">
        <v>3</v>
      </c>
      <c r="M70" s="2">
        <v>2.2999999999999998</v>
      </c>
      <c r="N70">
        <v>1</v>
      </c>
      <c r="O70">
        <v>2</v>
      </c>
      <c r="P70">
        <v>2</v>
      </c>
      <c r="Q70">
        <v>2</v>
      </c>
      <c r="R70">
        <v>2</v>
      </c>
      <c r="T70" s="1"/>
      <c r="U70" s="1"/>
      <c r="V70" s="13"/>
      <c r="W70" s="1"/>
      <c r="Y70" s="4">
        <v>2</v>
      </c>
      <c r="Z70">
        <v>2</v>
      </c>
      <c r="AA70">
        <v>3</v>
      </c>
      <c r="AB70">
        <v>1</v>
      </c>
      <c r="AC70" s="2">
        <v>1</v>
      </c>
      <c r="AD70" s="6">
        <v>0</v>
      </c>
      <c r="AE70" s="2">
        <v>1</v>
      </c>
      <c r="AF70" s="2">
        <v>1</v>
      </c>
      <c r="AG70" s="13">
        <v>0.86</v>
      </c>
      <c r="AH70" s="13">
        <v>0.35</v>
      </c>
      <c r="AI70" s="4">
        <v>1</v>
      </c>
      <c r="AJ70" s="24">
        <v>10</v>
      </c>
      <c r="AK70" s="2">
        <v>1</v>
      </c>
      <c r="AL70" s="3">
        <v>30</v>
      </c>
      <c r="AM70" s="26">
        <v>66</v>
      </c>
      <c r="AN70" s="29">
        <v>8.9700000000000006</v>
      </c>
      <c r="AO70" s="38">
        <v>1</v>
      </c>
      <c r="AP70" s="34">
        <v>10</v>
      </c>
      <c r="AQ70" s="2">
        <v>60</v>
      </c>
      <c r="AR70" s="29">
        <v>0.3</v>
      </c>
      <c r="AS70" s="34">
        <f>0.1/2</f>
        <v>0.05</v>
      </c>
      <c r="AT70" s="13">
        <v>1</v>
      </c>
      <c r="AU70" s="29">
        <v>1.3</v>
      </c>
      <c r="AV70" s="2">
        <v>1</v>
      </c>
      <c r="AW70" s="2">
        <v>1</v>
      </c>
    </row>
    <row r="71" spans="1:49" x14ac:dyDescent="0.2">
      <c r="A71" s="3">
        <v>258</v>
      </c>
      <c r="B71" t="s">
        <v>25</v>
      </c>
      <c r="C71" s="2">
        <v>40.5</v>
      </c>
      <c r="D71" s="4">
        <v>2</v>
      </c>
      <c r="E71" s="4">
        <v>2</v>
      </c>
      <c r="F71" s="5">
        <v>1</v>
      </c>
      <c r="G71" s="5">
        <v>25.2</v>
      </c>
      <c r="H71">
        <v>1</v>
      </c>
      <c r="I71" t="s">
        <v>28</v>
      </c>
      <c r="J71" s="2">
        <v>1</v>
      </c>
      <c r="K71">
        <v>3</v>
      </c>
      <c r="M71" s="2">
        <v>3.4</v>
      </c>
      <c r="N71">
        <v>2</v>
      </c>
      <c r="O71">
        <v>2</v>
      </c>
      <c r="P71">
        <v>2</v>
      </c>
      <c r="Q71">
        <v>1</v>
      </c>
      <c r="T71" s="1"/>
      <c r="U71" s="1"/>
      <c r="V71" s="13"/>
      <c r="W71" s="1"/>
      <c r="Y71" s="4">
        <v>2</v>
      </c>
      <c r="Z71">
        <v>2</v>
      </c>
      <c r="AA71">
        <v>3</v>
      </c>
      <c r="AB71">
        <v>1</v>
      </c>
      <c r="AC71" s="2">
        <v>1</v>
      </c>
      <c r="AD71" s="6">
        <v>1</v>
      </c>
      <c r="AE71" s="2">
        <v>2</v>
      </c>
      <c r="AF71" s="2">
        <v>3</v>
      </c>
      <c r="AG71" s="13">
        <v>8.3000000000000007</v>
      </c>
      <c r="AH71" s="15">
        <v>0.4</v>
      </c>
      <c r="AI71" s="4">
        <v>1</v>
      </c>
      <c r="AJ71" s="24">
        <v>10</v>
      </c>
      <c r="AK71" s="2">
        <v>1</v>
      </c>
      <c r="AL71" s="3">
        <v>30</v>
      </c>
      <c r="AM71" s="26">
        <v>87</v>
      </c>
      <c r="AN71" s="28">
        <v>0.7</v>
      </c>
      <c r="AO71" s="38">
        <v>1</v>
      </c>
      <c r="AP71" s="34">
        <v>10</v>
      </c>
      <c r="AQ71" s="2">
        <v>101.4</v>
      </c>
      <c r="AR71" s="29">
        <v>0.82</v>
      </c>
      <c r="AS71" s="28">
        <v>0.34</v>
      </c>
      <c r="AT71" s="13">
        <v>1</v>
      </c>
      <c r="AU71" s="29">
        <v>1.3</v>
      </c>
      <c r="AV71" s="2">
        <v>2</v>
      </c>
      <c r="AW71" s="2">
        <v>2</v>
      </c>
    </row>
    <row r="72" spans="1:49" x14ac:dyDescent="0.2">
      <c r="A72" s="3">
        <v>129</v>
      </c>
      <c r="B72" t="s">
        <v>25</v>
      </c>
      <c r="C72" s="2">
        <v>32.4</v>
      </c>
      <c r="D72" s="4">
        <v>2</v>
      </c>
      <c r="E72" s="4">
        <v>2</v>
      </c>
      <c r="F72" s="5">
        <v>2</v>
      </c>
      <c r="G72" s="5">
        <v>33.6</v>
      </c>
      <c r="H72">
        <v>2</v>
      </c>
      <c r="I72" t="s">
        <v>26</v>
      </c>
      <c r="J72" s="2">
        <v>1</v>
      </c>
      <c r="K72">
        <v>1</v>
      </c>
      <c r="M72" s="2">
        <v>2</v>
      </c>
      <c r="N72">
        <v>2</v>
      </c>
      <c r="O72">
        <v>1</v>
      </c>
      <c r="P72">
        <v>1</v>
      </c>
      <c r="Q72">
        <v>1</v>
      </c>
      <c r="R72">
        <v>2</v>
      </c>
      <c r="S72">
        <v>1</v>
      </c>
      <c r="T72" s="3">
        <v>21</v>
      </c>
      <c r="U72" s="3">
        <v>19</v>
      </c>
      <c r="V72" s="13">
        <v>90.48</v>
      </c>
      <c r="W72" s="2">
        <v>2.2999999999999998</v>
      </c>
      <c r="X72">
        <v>2</v>
      </c>
      <c r="Y72" s="4"/>
      <c r="Z72">
        <v>1</v>
      </c>
      <c r="AA72">
        <v>2</v>
      </c>
      <c r="AB72">
        <v>1</v>
      </c>
      <c r="AC72" s="2">
        <v>1</v>
      </c>
      <c r="AD72" s="19"/>
      <c r="AE72" s="2">
        <v>2</v>
      </c>
      <c r="AF72" s="2">
        <v>3</v>
      </c>
      <c r="AG72" s="13">
        <v>0.88</v>
      </c>
      <c r="AH72" s="15">
        <v>0.7</v>
      </c>
      <c r="AI72" s="4">
        <v>1</v>
      </c>
      <c r="AJ72" s="24">
        <v>10</v>
      </c>
      <c r="AK72" s="2">
        <v>1</v>
      </c>
      <c r="AL72" s="3">
        <v>150</v>
      </c>
      <c r="AM72" s="27">
        <v>150</v>
      </c>
      <c r="AN72" s="29">
        <v>6.5</v>
      </c>
      <c r="AO72" s="38">
        <v>1</v>
      </c>
      <c r="AP72" s="34">
        <v>10</v>
      </c>
      <c r="AQ72" s="2">
        <v>57.4</v>
      </c>
      <c r="AR72" s="29">
        <v>0.69</v>
      </c>
      <c r="AS72" s="28">
        <v>0.64</v>
      </c>
      <c r="AT72" s="13">
        <v>1</v>
      </c>
      <c r="AU72" s="29">
        <v>1.3</v>
      </c>
      <c r="AV72" s="2">
        <v>2</v>
      </c>
      <c r="AW72" s="2">
        <v>2</v>
      </c>
    </row>
    <row r="73" spans="1:49" x14ac:dyDescent="0.2">
      <c r="A73" s="3">
        <v>321</v>
      </c>
      <c r="B73" t="s">
        <v>27</v>
      </c>
      <c r="C73" s="2">
        <v>62.7</v>
      </c>
      <c r="D73" s="4">
        <v>2</v>
      </c>
      <c r="E73" s="4">
        <v>2</v>
      </c>
      <c r="F73" s="5">
        <v>1</v>
      </c>
      <c r="G73" s="5">
        <v>27.6</v>
      </c>
      <c r="H73">
        <v>1</v>
      </c>
      <c r="I73" t="s">
        <v>26</v>
      </c>
      <c r="J73" s="2">
        <v>1</v>
      </c>
      <c r="K73">
        <v>4</v>
      </c>
      <c r="M73" s="2">
        <v>4.0999999999999996</v>
      </c>
      <c r="N73">
        <v>1</v>
      </c>
      <c r="O73">
        <v>1</v>
      </c>
      <c r="P73">
        <v>2</v>
      </c>
      <c r="Q73">
        <v>1</v>
      </c>
      <c r="R73">
        <v>2</v>
      </c>
      <c r="T73" s="1"/>
      <c r="U73" s="1"/>
      <c r="V73" s="13"/>
      <c r="W73" s="1"/>
      <c r="Y73" s="4">
        <v>1</v>
      </c>
      <c r="Z73">
        <v>3</v>
      </c>
      <c r="AA73">
        <v>3</v>
      </c>
      <c r="AB73">
        <v>1</v>
      </c>
      <c r="AC73" s="2">
        <v>2</v>
      </c>
      <c r="AD73" s="19"/>
      <c r="AE73" s="2">
        <v>2</v>
      </c>
      <c r="AF73" s="2">
        <v>3</v>
      </c>
      <c r="AG73" s="13">
        <v>2.5499999999999998</v>
      </c>
      <c r="AH73" s="15">
        <v>0.4</v>
      </c>
      <c r="AI73" s="4">
        <v>1</v>
      </c>
      <c r="AJ73" s="15">
        <v>12.5</v>
      </c>
      <c r="AK73" s="2">
        <v>1</v>
      </c>
      <c r="AL73" s="3">
        <v>30</v>
      </c>
      <c r="AM73" s="26">
        <v>23.3</v>
      </c>
      <c r="AN73" s="29">
        <v>31.1</v>
      </c>
      <c r="AO73" s="39"/>
      <c r="AP73" s="28"/>
      <c r="AQ73" s="2">
        <v>31.8</v>
      </c>
      <c r="AR73" s="29">
        <v>0.02</v>
      </c>
      <c r="AS73" s="28">
        <v>0.1</v>
      </c>
      <c r="AT73" s="13">
        <v>1</v>
      </c>
      <c r="AU73" s="29">
        <v>20</v>
      </c>
      <c r="AV73" s="2">
        <v>1</v>
      </c>
      <c r="AW73" s="2">
        <v>1</v>
      </c>
    </row>
    <row r="74" spans="1:49" x14ac:dyDescent="0.2">
      <c r="A74" s="3">
        <v>303</v>
      </c>
      <c r="B74" t="s">
        <v>25</v>
      </c>
      <c r="C74" s="2">
        <v>34.299999999999997</v>
      </c>
      <c r="D74" s="4">
        <v>2</v>
      </c>
      <c r="E74" s="4">
        <v>1</v>
      </c>
      <c r="F74" s="5">
        <v>1</v>
      </c>
      <c r="G74" s="5">
        <v>32.6</v>
      </c>
      <c r="H74">
        <v>1</v>
      </c>
      <c r="I74" t="s">
        <v>26</v>
      </c>
      <c r="J74" s="2">
        <v>1</v>
      </c>
      <c r="K74">
        <v>3</v>
      </c>
      <c r="M74" s="2">
        <v>5.6</v>
      </c>
      <c r="N74">
        <v>1</v>
      </c>
      <c r="O74">
        <v>1</v>
      </c>
      <c r="P74">
        <v>1</v>
      </c>
      <c r="Q74">
        <v>2</v>
      </c>
      <c r="R74">
        <v>2</v>
      </c>
      <c r="S74">
        <v>2</v>
      </c>
      <c r="T74" s="1"/>
      <c r="U74" s="1"/>
      <c r="V74" s="13"/>
      <c r="W74" s="1"/>
      <c r="Y74" s="4">
        <v>1</v>
      </c>
      <c r="Z74">
        <v>3</v>
      </c>
      <c r="AA74">
        <v>0</v>
      </c>
      <c r="AB74">
        <v>1</v>
      </c>
      <c r="AC74" s="2">
        <v>1</v>
      </c>
      <c r="AD74" s="19"/>
      <c r="AE74" s="2">
        <v>1</v>
      </c>
      <c r="AF74" s="2">
        <v>3</v>
      </c>
      <c r="AG74" s="13">
        <v>7.75</v>
      </c>
      <c r="AH74" s="13">
        <v>0.41</v>
      </c>
      <c r="AI74" s="4">
        <v>1</v>
      </c>
      <c r="AJ74" s="24">
        <v>10</v>
      </c>
      <c r="AK74" s="2">
        <v>0</v>
      </c>
      <c r="AL74" s="1"/>
      <c r="AM74" s="26"/>
      <c r="AN74" s="29"/>
      <c r="AO74" s="39"/>
      <c r="AP74" s="28"/>
      <c r="AQ74" s="2">
        <v>9.8000000000000007</v>
      </c>
      <c r="AR74" s="29">
        <v>0.34</v>
      </c>
      <c r="AS74" s="34">
        <v>0.1</v>
      </c>
      <c r="AT74" s="13">
        <v>1</v>
      </c>
      <c r="AU74" s="29">
        <v>20</v>
      </c>
      <c r="AV74" s="2">
        <v>1</v>
      </c>
      <c r="AW74" s="2">
        <v>1</v>
      </c>
    </row>
    <row r="75" spans="1:49" x14ac:dyDescent="0.2">
      <c r="A75" s="3">
        <v>24</v>
      </c>
      <c r="B75" t="s">
        <v>25</v>
      </c>
      <c r="C75" s="2">
        <v>59.6</v>
      </c>
      <c r="D75" s="4">
        <v>2</v>
      </c>
      <c r="E75" s="4">
        <v>2</v>
      </c>
      <c r="F75" s="5">
        <v>1</v>
      </c>
      <c r="G75" s="5">
        <v>24.1</v>
      </c>
      <c r="H75">
        <v>1</v>
      </c>
      <c r="I75" t="s">
        <v>26</v>
      </c>
      <c r="J75" s="2">
        <v>1</v>
      </c>
      <c r="K75">
        <v>1</v>
      </c>
      <c r="M75" s="2">
        <v>1.2</v>
      </c>
      <c r="N75">
        <v>2</v>
      </c>
      <c r="O75">
        <v>1</v>
      </c>
      <c r="P75">
        <v>1</v>
      </c>
      <c r="Q75">
        <v>1</v>
      </c>
      <c r="R75">
        <v>2</v>
      </c>
      <c r="S75">
        <v>2</v>
      </c>
      <c r="T75" s="1"/>
      <c r="U75" s="1"/>
      <c r="V75" s="13"/>
      <c r="W75" s="1"/>
      <c r="Y75" s="4">
        <v>2</v>
      </c>
      <c r="Z75">
        <v>1</v>
      </c>
      <c r="AA75">
        <v>0</v>
      </c>
      <c r="AB75">
        <v>1</v>
      </c>
      <c r="AC75" s="2">
        <v>1</v>
      </c>
      <c r="AD75" s="19"/>
      <c r="AE75" s="2">
        <v>2</v>
      </c>
      <c r="AF75" s="2">
        <v>3</v>
      </c>
      <c r="AG75" s="13">
        <v>0.03</v>
      </c>
      <c r="AH75" s="15">
        <v>0.42</v>
      </c>
      <c r="AI75" s="4">
        <v>2</v>
      </c>
      <c r="AJ75" s="15">
        <v>70</v>
      </c>
      <c r="AK75" s="2">
        <v>0</v>
      </c>
      <c r="AL75" s="1"/>
      <c r="AM75" s="26"/>
      <c r="AN75" s="29"/>
      <c r="AO75" s="39"/>
      <c r="AP75" s="28"/>
      <c r="AQ75" s="2">
        <v>29.3</v>
      </c>
      <c r="AR75" s="29">
        <v>0.16</v>
      </c>
      <c r="AS75" s="28">
        <v>1.89</v>
      </c>
      <c r="AT75" s="13">
        <v>1</v>
      </c>
      <c r="AU75" s="29">
        <v>52</v>
      </c>
      <c r="AV75" s="2">
        <v>4</v>
      </c>
      <c r="AW75" s="2">
        <v>4</v>
      </c>
    </row>
    <row r="76" spans="1:49" x14ac:dyDescent="0.2">
      <c r="A76" s="3">
        <v>63</v>
      </c>
      <c r="B76" t="s">
        <v>25</v>
      </c>
      <c r="C76" s="2">
        <v>47.6</v>
      </c>
      <c r="D76" s="8">
        <v>2</v>
      </c>
      <c r="E76" s="8">
        <v>2</v>
      </c>
      <c r="F76" s="9"/>
      <c r="G76" s="9">
        <v>39.1</v>
      </c>
      <c r="H76">
        <v>1</v>
      </c>
      <c r="I76" t="s">
        <v>28</v>
      </c>
      <c r="J76" s="2">
        <v>1</v>
      </c>
      <c r="K76">
        <v>10</v>
      </c>
      <c r="M76" s="2">
        <v>3.7</v>
      </c>
      <c r="N76">
        <v>2</v>
      </c>
      <c r="O76">
        <v>2</v>
      </c>
      <c r="P76">
        <v>2</v>
      </c>
      <c r="Q76">
        <v>1</v>
      </c>
      <c r="R76">
        <v>2</v>
      </c>
      <c r="T76" s="1"/>
      <c r="U76" s="1"/>
      <c r="V76" s="15"/>
      <c r="W76" s="1"/>
      <c r="Y76" s="8">
        <v>1</v>
      </c>
      <c r="Z76">
        <v>2</v>
      </c>
      <c r="AA76">
        <v>3</v>
      </c>
      <c r="AB76">
        <v>1</v>
      </c>
      <c r="AC76" s="2">
        <v>1</v>
      </c>
      <c r="AD76" s="20"/>
      <c r="AE76" s="2">
        <v>2</v>
      </c>
      <c r="AF76" s="2">
        <v>3</v>
      </c>
      <c r="AG76" s="15">
        <v>68</v>
      </c>
      <c r="AH76" s="15">
        <v>0.5</v>
      </c>
      <c r="AI76" s="8">
        <v>1</v>
      </c>
      <c r="AJ76" s="24">
        <v>10</v>
      </c>
      <c r="AK76" s="2">
        <v>1</v>
      </c>
      <c r="AL76" s="3">
        <v>30</v>
      </c>
      <c r="AM76" s="26">
        <v>120</v>
      </c>
      <c r="AN76" s="28">
        <v>0.34</v>
      </c>
      <c r="AO76" s="42">
        <v>1</v>
      </c>
      <c r="AP76" s="34">
        <v>10</v>
      </c>
      <c r="AQ76" s="2">
        <v>87.1</v>
      </c>
      <c r="AR76" s="29">
        <v>2.02</v>
      </c>
      <c r="AS76" s="34">
        <f>0.1/2</f>
        <v>0.05</v>
      </c>
      <c r="AT76" s="13">
        <v>1</v>
      </c>
      <c r="AU76" s="29">
        <v>1.3</v>
      </c>
      <c r="AV76" s="2">
        <v>1</v>
      </c>
      <c r="AW76" s="2">
        <v>1</v>
      </c>
    </row>
    <row r="77" spans="1:49" x14ac:dyDescent="0.2">
      <c r="A77" s="3">
        <v>367</v>
      </c>
      <c r="B77" t="s">
        <v>25</v>
      </c>
      <c r="C77" s="2">
        <v>35.9</v>
      </c>
      <c r="D77" s="4">
        <v>2</v>
      </c>
      <c r="E77" s="4">
        <v>2</v>
      </c>
      <c r="F77" s="5">
        <v>1</v>
      </c>
      <c r="G77" s="5">
        <v>39.799999999999997</v>
      </c>
      <c r="H77">
        <v>2</v>
      </c>
      <c r="I77" t="s">
        <v>28</v>
      </c>
      <c r="J77" s="2">
        <v>1</v>
      </c>
      <c r="K77">
        <v>1</v>
      </c>
      <c r="M77" s="2">
        <v>0.7</v>
      </c>
      <c r="N77">
        <v>1</v>
      </c>
      <c r="O77">
        <v>1</v>
      </c>
      <c r="P77">
        <v>2</v>
      </c>
      <c r="Q77">
        <v>2</v>
      </c>
      <c r="R77">
        <v>2</v>
      </c>
      <c r="S77">
        <v>1</v>
      </c>
      <c r="T77" s="3">
        <v>58</v>
      </c>
      <c r="U77" s="3">
        <v>15</v>
      </c>
      <c r="V77" s="15">
        <v>25.86</v>
      </c>
      <c r="W77" s="2">
        <v>4.0999999999999996</v>
      </c>
      <c r="X77">
        <v>2</v>
      </c>
      <c r="Y77" s="4">
        <v>2</v>
      </c>
      <c r="Z77">
        <v>1</v>
      </c>
      <c r="AA77">
        <v>2</v>
      </c>
      <c r="AB77">
        <v>1</v>
      </c>
      <c r="AC77" s="2">
        <v>1</v>
      </c>
      <c r="AD77" s="19"/>
      <c r="AE77" s="2">
        <v>3</v>
      </c>
      <c r="AF77" s="2">
        <v>4</v>
      </c>
      <c r="AG77" s="13">
        <v>0.02</v>
      </c>
      <c r="AH77" s="15">
        <v>0.79</v>
      </c>
      <c r="AI77" s="4">
        <v>1</v>
      </c>
      <c r="AJ77" s="24">
        <v>10</v>
      </c>
      <c r="AK77" s="2">
        <v>1</v>
      </c>
      <c r="AL77" s="3">
        <v>100</v>
      </c>
      <c r="AM77" s="26">
        <v>141.26</v>
      </c>
      <c r="AN77" s="29">
        <v>9.85</v>
      </c>
      <c r="AO77" s="38">
        <v>1</v>
      </c>
      <c r="AP77" s="34">
        <v>10</v>
      </c>
      <c r="AQ77" s="2">
        <v>34.5</v>
      </c>
      <c r="AR77" s="29">
        <v>0.01</v>
      </c>
      <c r="AS77" s="28">
        <v>0.18</v>
      </c>
      <c r="AT77" s="13">
        <v>1</v>
      </c>
      <c r="AU77" s="29">
        <v>1.3</v>
      </c>
      <c r="AV77" s="2">
        <v>1</v>
      </c>
      <c r="AW77" s="2">
        <v>1</v>
      </c>
    </row>
    <row r="78" spans="1:49" x14ac:dyDescent="0.2">
      <c r="A78" s="3">
        <v>123</v>
      </c>
      <c r="B78" t="s">
        <v>25</v>
      </c>
      <c r="C78" s="2">
        <v>18.8</v>
      </c>
      <c r="D78" s="4">
        <v>2</v>
      </c>
      <c r="E78" s="4">
        <v>2</v>
      </c>
      <c r="F78" s="5"/>
      <c r="G78" s="5">
        <v>18.399999999999999</v>
      </c>
      <c r="H78">
        <v>2</v>
      </c>
      <c r="I78" t="s">
        <v>26</v>
      </c>
      <c r="J78" s="2">
        <v>1</v>
      </c>
      <c r="K78">
        <v>1</v>
      </c>
      <c r="M78" s="2">
        <v>2.4</v>
      </c>
      <c r="N78">
        <v>2</v>
      </c>
      <c r="O78">
        <v>2</v>
      </c>
      <c r="P78">
        <v>2</v>
      </c>
      <c r="Q78">
        <v>1</v>
      </c>
      <c r="R78">
        <v>2</v>
      </c>
      <c r="S78">
        <v>1</v>
      </c>
      <c r="T78" s="3">
        <v>6</v>
      </c>
      <c r="U78" s="3">
        <v>2</v>
      </c>
      <c r="V78" s="13">
        <v>33.33</v>
      </c>
      <c r="W78" s="2">
        <v>0.4</v>
      </c>
      <c r="X78">
        <v>2</v>
      </c>
      <c r="Y78" s="4"/>
      <c r="Z78">
        <v>2</v>
      </c>
      <c r="AA78">
        <v>2</v>
      </c>
      <c r="AB78">
        <v>1</v>
      </c>
      <c r="AC78" s="2">
        <v>1</v>
      </c>
      <c r="AD78" s="19"/>
      <c r="AE78" s="2">
        <v>2</v>
      </c>
      <c r="AF78" s="2">
        <v>3</v>
      </c>
      <c r="AG78" s="13">
        <v>4.78</v>
      </c>
      <c r="AH78" s="13">
        <v>0.8</v>
      </c>
      <c r="AI78" s="4">
        <v>1</v>
      </c>
      <c r="AJ78" s="24">
        <v>10</v>
      </c>
      <c r="AK78" s="2">
        <v>1</v>
      </c>
      <c r="AL78" s="3">
        <v>30</v>
      </c>
      <c r="AM78" s="26">
        <v>150</v>
      </c>
      <c r="AN78" s="29">
        <v>6.8</v>
      </c>
      <c r="AO78" s="38">
        <v>1</v>
      </c>
      <c r="AP78" s="34">
        <v>10</v>
      </c>
      <c r="AQ78" s="2">
        <v>24.7</v>
      </c>
      <c r="AR78" s="29">
        <v>3.99</v>
      </c>
      <c r="AS78" s="28">
        <v>0.19</v>
      </c>
      <c r="AT78" s="13">
        <v>1</v>
      </c>
      <c r="AU78" s="29">
        <v>20</v>
      </c>
      <c r="AV78" s="2">
        <v>1</v>
      </c>
      <c r="AW78" s="2">
        <v>1</v>
      </c>
    </row>
    <row r="79" spans="1:49" x14ac:dyDescent="0.2">
      <c r="A79" s="3">
        <v>94</v>
      </c>
      <c r="B79" t="s">
        <v>27</v>
      </c>
      <c r="C79" s="2">
        <v>50.1</v>
      </c>
      <c r="D79" s="4">
        <v>2</v>
      </c>
      <c r="E79" s="4">
        <v>2</v>
      </c>
      <c r="F79" s="5"/>
      <c r="G79" s="5">
        <v>26.9</v>
      </c>
      <c r="H79">
        <v>2</v>
      </c>
      <c r="I79" t="s">
        <v>28</v>
      </c>
      <c r="J79" s="2">
        <v>1</v>
      </c>
      <c r="K79">
        <v>3</v>
      </c>
      <c r="M79" s="2">
        <v>2.4</v>
      </c>
      <c r="N79">
        <v>2</v>
      </c>
      <c r="O79">
        <v>1</v>
      </c>
      <c r="P79">
        <v>1</v>
      </c>
      <c r="Q79">
        <v>1</v>
      </c>
      <c r="R79">
        <v>2</v>
      </c>
      <c r="S79">
        <v>1</v>
      </c>
      <c r="T79" s="3">
        <v>123</v>
      </c>
      <c r="U79" s="3">
        <v>18</v>
      </c>
      <c r="V79" s="13">
        <v>14.63</v>
      </c>
      <c r="W79" s="2">
        <v>2.2999999999999998</v>
      </c>
      <c r="X79">
        <v>1</v>
      </c>
      <c r="Y79" s="4">
        <v>1</v>
      </c>
      <c r="Z79">
        <v>2</v>
      </c>
      <c r="AA79">
        <v>2</v>
      </c>
      <c r="AB79">
        <v>1</v>
      </c>
      <c r="AC79" s="2">
        <v>1</v>
      </c>
      <c r="AD79" s="6">
        <v>1</v>
      </c>
      <c r="AE79" s="2">
        <v>3</v>
      </c>
      <c r="AF79" s="2">
        <v>4</v>
      </c>
      <c r="AG79" s="13">
        <v>1.06</v>
      </c>
      <c r="AH79" s="15">
        <v>1.33</v>
      </c>
      <c r="AI79" s="4">
        <v>1</v>
      </c>
      <c r="AJ79" s="24">
        <v>10</v>
      </c>
      <c r="AK79" s="2">
        <v>1</v>
      </c>
      <c r="AL79" s="3">
        <v>150</v>
      </c>
      <c r="AM79" s="26">
        <v>86</v>
      </c>
      <c r="AN79" s="29">
        <v>22.6</v>
      </c>
      <c r="AO79" s="38">
        <v>1</v>
      </c>
      <c r="AP79" s="34">
        <v>10</v>
      </c>
      <c r="AQ79" s="2">
        <v>54.8</v>
      </c>
      <c r="AR79" s="29">
        <v>0.02</v>
      </c>
      <c r="AS79" s="28">
        <v>0.7</v>
      </c>
      <c r="AT79" s="13">
        <v>1</v>
      </c>
      <c r="AU79" s="29">
        <v>1.3</v>
      </c>
      <c r="AV79" s="2">
        <v>2</v>
      </c>
      <c r="AW79" s="2">
        <v>2</v>
      </c>
    </row>
    <row r="80" spans="1:49" x14ac:dyDescent="0.2">
      <c r="A80" s="3">
        <v>220</v>
      </c>
      <c r="B80" t="s">
        <v>25</v>
      </c>
      <c r="C80" s="2">
        <v>40.9</v>
      </c>
      <c r="D80" s="4">
        <v>2</v>
      </c>
      <c r="E80" s="4">
        <v>2</v>
      </c>
      <c r="F80" s="5">
        <v>1</v>
      </c>
      <c r="G80" s="5">
        <v>23</v>
      </c>
      <c r="H80">
        <v>1</v>
      </c>
      <c r="I80" t="s">
        <v>26</v>
      </c>
      <c r="J80" s="2">
        <v>1</v>
      </c>
      <c r="K80">
        <v>1</v>
      </c>
      <c r="M80" s="2">
        <v>0.5</v>
      </c>
      <c r="N80">
        <v>1</v>
      </c>
      <c r="O80">
        <v>2</v>
      </c>
      <c r="P80">
        <v>2</v>
      </c>
      <c r="Q80">
        <v>2</v>
      </c>
      <c r="R80">
        <v>2</v>
      </c>
      <c r="S80">
        <v>2</v>
      </c>
      <c r="T80" s="1"/>
      <c r="U80" s="1"/>
      <c r="V80" s="13"/>
      <c r="W80" s="1"/>
      <c r="Y80" s="4">
        <v>1</v>
      </c>
      <c r="Z80">
        <v>1</v>
      </c>
      <c r="AA80">
        <v>0</v>
      </c>
      <c r="AB80">
        <v>1</v>
      </c>
      <c r="AC80" s="2">
        <v>1</v>
      </c>
      <c r="AD80" s="19"/>
      <c r="AE80" s="2">
        <v>1</v>
      </c>
      <c r="AF80" s="2">
        <v>1</v>
      </c>
      <c r="AG80" s="13">
        <v>3.3</v>
      </c>
      <c r="AH80" s="15">
        <v>0.6</v>
      </c>
      <c r="AI80" s="4">
        <v>1</v>
      </c>
      <c r="AJ80" s="24">
        <v>10</v>
      </c>
      <c r="AK80" s="2">
        <v>0</v>
      </c>
      <c r="AL80" s="1"/>
      <c r="AM80" s="26"/>
      <c r="AN80" s="29"/>
      <c r="AO80" s="39"/>
      <c r="AP80" s="28"/>
      <c r="AQ80" s="2">
        <v>37</v>
      </c>
      <c r="AR80" s="29">
        <v>0.28999999999999998</v>
      </c>
      <c r="AS80" s="28">
        <v>0.21</v>
      </c>
      <c r="AT80" s="13">
        <v>1</v>
      </c>
      <c r="AU80" s="29">
        <v>1.3</v>
      </c>
      <c r="AV80" s="2">
        <v>2</v>
      </c>
      <c r="AW80" s="2">
        <v>1</v>
      </c>
    </row>
    <row r="81" spans="1:49" x14ac:dyDescent="0.2">
      <c r="A81" s="3">
        <v>458</v>
      </c>
      <c r="B81" t="s">
        <v>25</v>
      </c>
      <c r="C81" s="2">
        <v>49.9</v>
      </c>
      <c r="D81" s="10"/>
      <c r="E81" s="4">
        <v>2</v>
      </c>
      <c r="F81" s="5"/>
      <c r="G81" s="5"/>
      <c r="H81">
        <v>2</v>
      </c>
      <c r="I81" t="s">
        <v>28</v>
      </c>
      <c r="J81" s="2">
        <v>1</v>
      </c>
      <c r="K81">
        <v>1</v>
      </c>
      <c r="M81" s="2">
        <v>1.3</v>
      </c>
      <c r="N81">
        <v>1</v>
      </c>
      <c r="O81">
        <v>2</v>
      </c>
      <c r="P81">
        <v>2</v>
      </c>
      <c r="Q81">
        <v>2</v>
      </c>
      <c r="R81">
        <v>2</v>
      </c>
      <c r="S81">
        <v>1</v>
      </c>
      <c r="T81" s="3">
        <v>21</v>
      </c>
      <c r="U81" s="3">
        <v>4</v>
      </c>
      <c r="V81" s="13">
        <v>19.05</v>
      </c>
      <c r="W81" s="2">
        <v>1.2</v>
      </c>
      <c r="X81">
        <v>2</v>
      </c>
      <c r="Y81" s="4"/>
      <c r="Z81">
        <v>1</v>
      </c>
      <c r="AA81">
        <v>2</v>
      </c>
      <c r="AB81">
        <v>1</v>
      </c>
      <c r="AC81" s="2">
        <v>1</v>
      </c>
      <c r="AD81" s="6">
        <v>1</v>
      </c>
      <c r="AE81" s="2">
        <v>2</v>
      </c>
      <c r="AF81" s="2">
        <v>3</v>
      </c>
      <c r="AG81" s="13">
        <v>12.5</v>
      </c>
      <c r="AH81" s="15">
        <v>1.4</v>
      </c>
      <c r="AI81" s="4">
        <v>1</v>
      </c>
      <c r="AJ81" s="15">
        <v>14</v>
      </c>
      <c r="AK81" s="2">
        <v>1</v>
      </c>
      <c r="AL81" s="3">
        <v>150</v>
      </c>
      <c r="AM81" s="26">
        <v>150</v>
      </c>
      <c r="AN81" s="29">
        <v>2.97</v>
      </c>
      <c r="AO81" s="38">
        <v>1</v>
      </c>
      <c r="AP81" s="34">
        <f>1.3/2</f>
        <v>0.65</v>
      </c>
      <c r="AQ81" s="2">
        <v>14</v>
      </c>
      <c r="AR81" s="29" t="s">
        <v>32</v>
      </c>
      <c r="AS81" s="28">
        <v>0.4</v>
      </c>
      <c r="AT81" s="13">
        <v>1</v>
      </c>
      <c r="AU81" s="29">
        <v>115</v>
      </c>
      <c r="AV81" s="2">
        <v>2</v>
      </c>
      <c r="AW81" s="2">
        <v>2</v>
      </c>
    </row>
    <row r="82" spans="1:49" x14ac:dyDescent="0.2">
      <c r="A82" s="3">
        <v>162</v>
      </c>
      <c r="B82" t="s">
        <v>27</v>
      </c>
      <c r="C82" s="2">
        <v>24.6</v>
      </c>
      <c r="D82" s="4">
        <v>2</v>
      </c>
      <c r="E82" s="4">
        <v>2</v>
      </c>
      <c r="F82" s="5">
        <v>1</v>
      </c>
      <c r="G82" s="5">
        <v>41.2</v>
      </c>
      <c r="H82">
        <v>2</v>
      </c>
      <c r="I82" t="s">
        <v>26</v>
      </c>
      <c r="J82" s="2">
        <v>1</v>
      </c>
      <c r="K82">
        <v>1</v>
      </c>
      <c r="M82" s="2">
        <v>4.4000000000000004</v>
      </c>
      <c r="N82">
        <v>1</v>
      </c>
      <c r="O82">
        <v>2</v>
      </c>
      <c r="P82">
        <v>2</v>
      </c>
      <c r="Q82">
        <v>2</v>
      </c>
      <c r="R82">
        <v>2</v>
      </c>
      <c r="S82">
        <v>1</v>
      </c>
      <c r="T82" s="3">
        <v>27</v>
      </c>
      <c r="U82" s="3">
        <v>12</v>
      </c>
      <c r="V82" s="13">
        <v>44.44</v>
      </c>
      <c r="W82" s="2">
        <v>1</v>
      </c>
      <c r="X82">
        <v>2</v>
      </c>
      <c r="Y82" s="4">
        <v>2</v>
      </c>
      <c r="Z82">
        <v>3</v>
      </c>
      <c r="AA82">
        <v>2</v>
      </c>
      <c r="AB82">
        <v>1</v>
      </c>
      <c r="AC82" s="2">
        <v>1</v>
      </c>
      <c r="AD82" s="6">
        <v>1</v>
      </c>
      <c r="AE82" s="2">
        <v>2</v>
      </c>
      <c r="AF82" s="2">
        <v>3</v>
      </c>
      <c r="AG82" s="13">
        <v>0.06</v>
      </c>
      <c r="AH82" s="15">
        <v>1.77</v>
      </c>
      <c r="AI82" s="4">
        <v>1</v>
      </c>
      <c r="AJ82" s="24">
        <v>10</v>
      </c>
      <c r="AK82" s="2">
        <v>1</v>
      </c>
      <c r="AL82" s="3">
        <v>30</v>
      </c>
      <c r="AM82" s="26">
        <v>141</v>
      </c>
      <c r="AN82" s="28">
        <v>34</v>
      </c>
      <c r="AO82" s="38">
        <v>1</v>
      </c>
      <c r="AP82" s="34">
        <v>10</v>
      </c>
      <c r="AQ82" s="2">
        <v>31.5</v>
      </c>
      <c r="AR82" s="29">
        <v>0.08</v>
      </c>
      <c r="AS82" s="28">
        <v>2.04</v>
      </c>
      <c r="AT82" s="13">
        <v>1</v>
      </c>
      <c r="AU82" s="29">
        <v>1.3</v>
      </c>
      <c r="AV82" s="2">
        <v>3</v>
      </c>
      <c r="AW82" s="2">
        <v>3</v>
      </c>
    </row>
    <row r="83" spans="1:49" x14ac:dyDescent="0.2">
      <c r="A83" s="3">
        <v>128</v>
      </c>
      <c r="B83" t="s">
        <v>27</v>
      </c>
      <c r="C83" s="2">
        <v>66.599999999999994</v>
      </c>
      <c r="D83" s="4">
        <v>2</v>
      </c>
      <c r="E83" s="4">
        <v>2</v>
      </c>
      <c r="F83" s="5">
        <v>1</v>
      </c>
      <c r="G83" s="5">
        <v>30.73941662</v>
      </c>
      <c r="H83">
        <v>2</v>
      </c>
      <c r="I83" t="s">
        <v>28</v>
      </c>
      <c r="J83" s="2">
        <v>1</v>
      </c>
      <c r="K83">
        <v>3</v>
      </c>
      <c r="M83" s="2">
        <v>3.2</v>
      </c>
      <c r="N83">
        <v>2</v>
      </c>
      <c r="O83">
        <v>1</v>
      </c>
      <c r="P83">
        <v>1</v>
      </c>
      <c r="Q83">
        <v>1</v>
      </c>
      <c r="R83">
        <v>2</v>
      </c>
      <c r="S83">
        <v>1</v>
      </c>
      <c r="T83" s="3">
        <v>31</v>
      </c>
      <c r="U83" s="3">
        <v>9</v>
      </c>
      <c r="V83" s="13">
        <v>29.03</v>
      </c>
      <c r="W83" s="2">
        <v>3.5</v>
      </c>
      <c r="X83">
        <v>2</v>
      </c>
      <c r="Y83" s="4"/>
      <c r="Z83">
        <v>2</v>
      </c>
      <c r="AA83">
        <v>2</v>
      </c>
      <c r="AB83">
        <v>1</v>
      </c>
      <c r="AC83" s="2">
        <v>2</v>
      </c>
      <c r="AD83" s="19"/>
      <c r="AE83" s="2">
        <v>3</v>
      </c>
      <c r="AF83" s="2">
        <v>4</v>
      </c>
      <c r="AG83" s="13">
        <v>1.1299999999999999</v>
      </c>
      <c r="AH83" s="15">
        <v>2.2999999999999998</v>
      </c>
      <c r="AI83" s="4">
        <v>1</v>
      </c>
      <c r="AJ83" s="24">
        <v>10</v>
      </c>
      <c r="AK83" s="2">
        <v>1</v>
      </c>
      <c r="AL83" s="3">
        <v>100</v>
      </c>
      <c r="AM83" s="26">
        <v>34</v>
      </c>
      <c r="AN83" s="29">
        <v>10.8</v>
      </c>
      <c r="AO83" s="38">
        <v>1</v>
      </c>
      <c r="AP83" s="34">
        <v>10</v>
      </c>
      <c r="AQ83" s="2">
        <v>56.6</v>
      </c>
      <c r="AR83" s="29">
        <v>0.16</v>
      </c>
      <c r="AS83" s="28">
        <v>1.75</v>
      </c>
      <c r="AT83" s="13">
        <v>1</v>
      </c>
      <c r="AU83" s="29">
        <v>20</v>
      </c>
      <c r="AV83" s="2">
        <v>4</v>
      </c>
      <c r="AW83" s="2">
        <v>4</v>
      </c>
    </row>
    <row r="84" spans="1:49" x14ac:dyDescent="0.2">
      <c r="A84" s="3">
        <v>185</v>
      </c>
      <c r="B84" t="s">
        <v>27</v>
      </c>
      <c r="C84" s="2">
        <v>47.2</v>
      </c>
      <c r="D84" s="4">
        <v>2</v>
      </c>
      <c r="E84" s="4">
        <v>2</v>
      </c>
      <c r="F84" s="5">
        <v>1</v>
      </c>
      <c r="G84" s="5">
        <v>22.6</v>
      </c>
      <c r="H84">
        <v>1</v>
      </c>
      <c r="I84" t="s">
        <v>26</v>
      </c>
      <c r="J84" s="2">
        <v>1</v>
      </c>
      <c r="K84">
        <v>3</v>
      </c>
      <c r="M84" s="2">
        <v>0.7</v>
      </c>
      <c r="N84">
        <v>1</v>
      </c>
      <c r="O84">
        <v>2</v>
      </c>
      <c r="P84">
        <v>2</v>
      </c>
      <c r="Q84">
        <v>2</v>
      </c>
      <c r="R84">
        <v>2</v>
      </c>
      <c r="S84">
        <v>2</v>
      </c>
      <c r="T84" s="1"/>
      <c r="U84" s="1"/>
      <c r="V84" s="13"/>
      <c r="W84" s="1"/>
      <c r="Y84" s="4">
        <v>2</v>
      </c>
      <c r="Z84">
        <v>1</v>
      </c>
      <c r="AA84">
        <v>0</v>
      </c>
      <c r="AB84">
        <v>1</v>
      </c>
      <c r="AC84" s="2">
        <v>1</v>
      </c>
      <c r="AD84" s="19"/>
      <c r="AE84" s="2">
        <v>1</v>
      </c>
      <c r="AF84" s="2">
        <v>1</v>
      </c>
      <c r="AG84" s="13">
        <v>0.43</v>
      </c>
      <c r="AH84" s="13">
        <v>0.7</v>
      </c>
      <c r="AI84" s="4">
        <v>1</v>
      </c>
      <c r="AJ84" s="24">
        <v>10</v>
      </c>
      <c r="AK84" s="2">
        <v>0</v>
      </c>
      <c r="AL84" s="1"/>
      <c r="AM84" s="26"/>
      <c r="AN84" s="29"/>
      <c r="AO84" s="39"/>
      <c r="AP84" s="28"/>
      <c r="AQ84" s="2">
        <v>46.5</v>
      </c>
      <c r="AR84" s="29">
        <v>1.38</v>
      </c>
      <c r="AS84" s="28">
        <v>0.48</v>
      </c>
      <c r="AT84" s="13">
        <v>1</v>
      </c>
      <c r="AU84" s="29">
        <v>20</v>
      </c>
      <c r="AV84" s="2">
        <v>2</v>
      </c>
      <c r="AW84" s="2">
        <v>1</v>
      </c>
    </row>
    <row r="85" spans="1:49" x14ac:dyDescent="0.2">
      <c r="A85" s="3">
        <v>108</v>
      </c>
      <c r="B85" t="s">
        <v>25</v>
      </c>
      <c r="C85" s="2">
        <v>35.799999999999997</v>
      </c>
      <c r="D85" s="4">
        <v>2</v>
      </c>
      <c r="E85" s="4">
        <v>2</v>
      </c>
      <c r="F85" s="5">
        <v>1</v>
      </c>
      <c r="G85" s="5">
        <v>26.2</v>
      </c>
      <c r="H85">
        <v>2</v>
      </c>
      <c r="I85" t="s">
        <v>28</v>
      </c>
      <c r="J85" s="2">
        <v>1</v>
      </c>
      <c r="K85">
        <v>3</v>
      </c>
      <c r="M85" s="2">
        <v>4.5</v>
      </c>
      <c r="N85">
        <v>2</v>
      </c>
      <c r="O85">
        <v>1</v>
      </c>
      <c r="P85">
        <v>1</v>
      </c>
      <c r="Q85">
        <v>1</v>
      </c>
      <c r="R85">
        <v>2</v>
      </c>
      <c r="S85">
        <v>1</v>
      </c>
      <c r="T85" s="3">
        <v>21</v>
      </c>
      <c r="U85" s="3">
        <v>6</v>
      </c>
      <c r="V85" s="13">
        <v>28.57</v>
      </c>
      <c r="W85" s="2">
        <v>1.7</v>
      </c>
      <c r="X85">
        <v>1</v>
      </c>
      <c r="Y85" s="4">
        <v>2</v>
      </c>
      <c r="Z85">
        <v>3</v>
      </c>
      <c r="AA85">
        <v>2</v>
      </c>
      <c r="AB85">
        <v>1</v>
      </c>
      <c r="AC85" s="2">
        <v>1</v>
      </c>
      <c r="AD85" s="6">
        <v>0</v>
      </c>
      <c r="AE85" s="2">
        <v>3</v>
      </c>
      <c r="AF85" s="2">
        <v>4</v>
      </c>
      <c r="AG85" s="13">
        <v>0.01</v>
      </c>
      <c r="AH85" s="15">
        <v>3.1</v>
      </c>
      <c r="AI85" s="4">
        <v>1</v>
      </c>
      <c r="AJ85" s="24">
        <v>10</v>
      </c>
      <c r="AK85" s="2">
        <v>1</v>
      </c>
      <c r="AL85" s="3">
        <v>100</v>
      </c>
      <c r="AM85" s="26">
        <v>150</v>
      </c>
      <c r="AN85" s="29">
        <v>18.899999999999999</v>
      </c>
      <c r="AO85" s="38">
        <v>1</v>
      </c>
      <c r="AP85" s="34">
        <v>10</v>
      </c>
      <c r="AQ85" s="2">
        <v>90.1</v>
      </c>
      <c r="AR85" s="29">
        <v>0.1</v>
      </c>
      <c r="AS85" s="28">
        <v>0.3</v>
      </c>
      <c r="AT85" s="13">
        <v>1</v>
      </c>
      <c r="AU85" s="29">
        <v>1.3</v>
      </c>
      <c r="AV85" s="2">
        <v>2</v>
      </c>
      <c r="AW85" s="2">
        <v>2</v>
      </c>
    </row>
    <row r="86" spans="1:49" x14ac:dyDescent="0.2">
      <c r="A86" s="3">
        <v>189</v>
      </c>
      <c r="B86" t="s">
        <v>25</v>
      </c>
      <c r="C86" s="2">
        <v>49.8</v>
      </c>
      <c r="D86" s="4">
        <v>2</v>
      </c>
      <c r="E86" s="4">
        <v>2</v>
      </c>
      <c r="F86" s="5">
        <v>1</v>
      </c>
      <c r="G86" s="5">
        <v>28.4</v>
      </c>
      <c r="H86">
        <v>1</v>
      </c>
      <c r="I86" t="s">
        <v>26</v>
      </c>
      <c r="J86" s="2">
        <v>1</v>
      </c>
      <c r="K86">
        <v>3</v>
      </c>
      <c r="M86" s="2">
        <v>0.8</v>
      </c>
      <c r="N86">
        <v>1</v>
      </c>
      <c r="O86">
        <v>1</v>
      </c>
      <c r="P86">
        <v>1</v>
      </c>
      <c r="Q86">
        <v>2</v>
      </c>
      <c r="R86">
        <v>2</v>
      </c>
      <c r="S86">
        <v>2</v>
      </c>
      <c r="T86" s="1"/>
      <c r="U86" s="1"/>
      <c r="V86" s="13"/>
      <c r="W86" s="1"/>
      <c r="Y86" s="4">
        <v>1</v>
      </c>
      <c r="Z86">
        <v>1</v>
      </c>
      <c r="AA86">
        <v>0</v>
      </c>
      <c r="AB86">
        <v>1</v>
      </c>
      <c r="AC86" s="2">
        <v>1</v>
      </c>
      <c r="AD86" s="19"/>
      <c r="AE86" s="2">
        <v>1</v>
      </c>
      <c r="AF86" s="2">
        <v>3</v>
      </c>
      <c r="AG86" s="13">
        <v>2.88</v>
      </c>
      <c r="AH86" s="15">
        <v>0.74</v>
      </c>
      <c r="AI86" s="4">
        <v>1</v>
      </c>
      <c r="AJ86" s="24">
        <v>10</v>
      </c>
      <c r="AK86" s="2">
        <v>0</v>
      </c>
      <c r="AL86" s="1"/>
      <c r="AM86" s="26"/>
      <c r="AN86" s="29"/>
      <c r="AO86" s="39"/>
      <c r="AP86" s="28"/>
      <c r="AQ86" s="2">
        <v>51.2</v>
      </c>
      <c r="AR86" s="29">
        <v>0.09</v>
      </c>
      <c r="AS86" s="34">
        <v>0.05</v>
      </c>
      <c r="AT86" s="13">
        <v>1</v>
      </c>
      <c r="AU86" s="29">
        <v>1.3</v>
      </c>
      <c r="AV86" s="2">
        <v>1</v>
      </c>
      <c r="AW86" s="2">
        <v>1</v>
      </c>
    </row>
    <row r="87" spans="1:49" x14ac:dyDescent="0.2">
      <c r="A87" s="3">
        <v>406</v>
      </c>
      <c r="B87" t="s">
        <v>27</v>
      </c>
      <c r="C87" s="2">
        <v>66.400000000000006</v>
      </c>
      <c r="D87" s="4">
        <v>2</v>
      </c>
      <c r="E87" s="4">
        <v>2</v>
      </c>
      <c r="F87" s="5"/>
      <c r="G87" s="5">
        <v>25.2</v>
      </c>
      <c r="H87">
        <v>2</v>
      </c>
      <c r="I87" t="s">
        <v>26</v>
      </c>
      <c r="J87" s="2">
        <v>1</v>
      </c>
      <c r="K87">
        <v>1</v>
      </c>
      <c r="M87" s="2">
        <v>1.3</v>
      </c>
      <c r="N87">
        <v>1</v>
      </c>
      <c r="O87">
        <v>1</v>
      </c>
      <c r="P87">
        <v>2</v>
      </c>
      <c r="Q87">
        <v>2</v>
      </c>
      <c r="R87">
        <v>2</v>
      </c>
      <c r="S87">
        <v>1</v>
      </c>
      <c r="T87" s="3">
        <v>36</v>
      </c>
      <c r="U87" s="3">
        <v>2</v>
      </c>
      <c r="V87" s="13">
        <v>5.56</v>
      </c>
      <c r="W87" s="2">
        <v>4.8</v>
      </c>
      <c r="X87">
        <v>1</v>
      </c>
      <c r="Y87" s="4"/>
      <c r="Z87">
        <v>1</v>
      </c>
      <c r="AA87">
        <v>2</v>
      </c>
      <c r="AB87">
        <v>2</v>
      </c>
      <c r="AC87" s="2">
        <v>4</v>
      </c>
      <c r="AD87" s="6">
        <v>1</v>
      </c>
      <c r="AE87" s="2">
        <v>3</v>
      </c>
      <c r="AF87" s="2">
        <v>4</v>
      </c>
      <c r="AG87" s="13">
        <v>0.02</v>
      </c>
      <c r="AH87" s="15">
        <v>3.8740000000000001</v>
      </c>
      <c r="AI87" s="4">
        <v>1</v>
      </c>
      <c r="AJ87" s="24">
        <v>10</v>
      </c>
      <c r="AK87" s="2">
        <v>1</v>
      </c>
      <c r="AL87" s="3">
        <v>200</v>
      </c>
      <c r="AM87" s="26">
        <v>67.7</v>
      </c>
      <c r="AN87" s="28">
        <v>5000</v>
      </c>
      <c r="AO87" s="38">
        <v>1</v>
      </c>
      <c r="AP87" s="34">
        <v>10</v>
      </c>
      <c r="AQ87" s="2">
        <v>28.4</v>
      </c>
      <c r="AR87" s="29">
        <v>0.02</v>
      </c>
      <c r="AS87" s="29">
        <v>1637</v>
      </c>
      <c r="AT87" s="13">
        <v>1</v>
      </c>
      <c r="AU87" s="29">
        <v>1.3</v>
      </c>
      <c r="AV87" s="2">
        <v>4</v>
      </c>
      <c r="AW87" s="2">
        <v>4</v>
      </c>
    </row>
    <row r="88" spans="1:49" x14ac:dyDescent="0.2">
      <c r="A88" s="3">
        <v>148</v>
      </c>
      <c r="B88" t="s">
        <v>25</v>
      </c>
      <c r="C88" s="2">
        <v>65.400000000000006</v>
      </c>
      <c r="D88" s="4">
        <v>2</v>
      </c>
      <c r="E88" s="4">
        <v>2</v>
      </c>
      <c r="F88" s="5">
        <v>1</v>
      </c>
      <c r="G88" s="5">
        <v>26.7</v>
      </c>
      <c r="H88">
        <v>2</v>
      </c>
      <c r="I88" t="s">
        <v>28</v>
      </c>
      <c r="J88" s="2">
        <v>1</v>
      </c>
      <c r="K88">
        <v>3</v>
      </c>
      <c r="M88" s="2">
        <v>3.3</v>
      </c>
      <c r="N88">
        <v>2</v>
      </c>
      <c r="O88">
        <v>2</v>
      </c>
      <c r="P88">
        <v>2</v>
      </c>
      <c r="Q88">
        <v>1</v>
      </c>
      <c r="R88">
        <v>2</v>
      </c>
      <c r="S88">
        <v>1</v>
      </c>
      <c r="T88" s="3">
        <v>32</v>
      </c>
      <c r="U88" s="3">
        <v>3</v>
      </c>
      <c r="V88" s="13">
        <v>9.3800000000000008</v>
      </c>
      <c r="W88" s="2">
        <v>2.8</v>
      </c>
      <c r="X88">
        <v>2</v>
      </c>
      <c r="Y88" s="4">
        <v>2</v>
      </c>
      <c r="Z88">
        <v>2</v>
      </c>
      <c r="AA88">
        <v>2</v>
      </c>
      <c r="AB88">
        <v>1</v>
      </c>
      <c r="AC88" s="2">
        <v>2</v>
      </c>
      <c r="AD88" s="19"/>
      <c r="AE88" s="2">
        <v>2</v>
      </c>
      <c r="AF88" s="2">
        <v>3</v>
      </c>
      <c r="AG88" s="13">
        <v>10.4</v>
      </c>
      <c r="AH88" s="13">
        <v>4.09</v>
      </c>
      <c r="AI88" s="4">
        <v>1</v>
      </c>
      <c r="AJ88" s="24">
        <v>10</v>
      </c>
      <c r="AK88" s="2">
        <v>1</v>
      </c>
      <c r="AL88" s="3">
        <v>30</v>
      </c>
      <c r="AM88" s="26">
        <v>84.4</v>
      </c>
      <c r="AN88" s="29">
        <v>16</v>
      </c>
      <c r="AO88" s="38">
        <v>1</v>
      </c>
      <c r="AP88" s="34">
        <v>10</v>
      </c>
      <c r="AQ88" s="2">
        <v>72.7</v>
      </c>
      <c r="AR88" s="29">
        <v>0.79</v>
      </c>
      <c r="AS88" s="28">
        <v>6.2</v>
      </c>
      <c r="AT88" s="13">
        <v>1</v>
      </c>
      <c r="AU88" s="29">
        <v>1.3</v>
      </c>
      <c r="AV88" s="2">
        <v>2</v>
      </c>
      <c r="AW88" s="2">
        <v>2</v>
      </c>
    </row>
    <row r="89" spans="1:49" x14ac:dyDescent="0.2">
      <c r="A89" s="3">
        <v>212</v>
      </c>
      <c r="B89" t="s">
        <v>25</v>
      </c>
      <c r="C89" s="2">
        <v>54.3</v>
      </c>
      <c r="D89" s="4">
        <v>2</v>
      </c>
      <c r="E89" s="4">
        <v>2</v>
      </c>
      <c r="F89" s="5">
        <v>1</v>
      </c>
      <c r="G89" s="5">
        <v>21.5</v>
      </c>
      <c r="H89">
        <v>1</v>
      </c>
      <c r="I89" t="s">
        <v>26</v>
      </c>
      <c r="J89" s="2">
        <v>1</v>
      </c>
      <c r="K89">
        <v>1</v>
      </c>
      <c r="M89" s="2">
        <v>2.8</v>
      </c>
      <c r="N89">
        <v>1</v>
      </c>
      <c r="O89">
        <v>2</v>
      </c>
      <c r="P89">
        <v>2</v>
      </c>
      <c r="Q89">
        <v>2</v>
      </c>
      <c r="R89">
        <v>2</v>
      </c>
      <c r="S89">
        <v>2</v>
      </c>
      <c r="T89" s="1"/>
      <c r="U89" s="1"/>
      <c r="V89" s="13"/>
      <c r="W89" s="1"/>
      <c r="Y89" s="4">
        <v>1</v>
      </c>
      <c r="Z89">
        <v>2</v>
      </c>
      <c r="AA89">
        <v>0</v>
      </c>
      <c r="AB89">
        <v>1</v>
      </c>
      <c r="AC89" s="2">
        <v>1</v>
      </c>
      <c r="AD89" s="19"/>
      <c r="AE89" s="2">
        <v>1</v>
      </c>
      <c r="AF89" s="2">
        <v>1</v>
      </c>
      <c r="AG89" s="13">
        <v>0.04</v>
      </c>
      <c r="AH89" s="13">
        <v>0.9</v>
      </c>
      <c r="AI89" s="4">
        <v>1</v>
      </c>
      <c r="AJ89" s="24">
        <v>10</v>
      </c>
      <c r="AK89" s="2">
        <v>0</v>
      </c>
      <c r="AL89" s="1"/>
      <c r="AM89" s="26"/>
      <c r="AN89" s="29"/>
      <c r="AO89" s="39"/>
      <c r="AP89" s="28"/>
      <c r="AQ89" s="2">
        <v>34.9</v>
      </c>
      <c r="AR89" s="29">
        <v>0.27</v>
      </c>
      <c r="AS89" s="28">
        <v>0.1</v>
      </c>
      <c r="AT89" s="13">
        <v>1</v>
      </c>
      <c r="AU89" s="29">
        <v>4.0999999999999996</v>
      </c>
      <c r="AV89" s="2">
        <v>1</v>
      </c>
      <c r="AW89" s="2">
        <v>1</v>
      </c>
    </row>
    <row r="90" spans="1:49" x14ac:dyDescent="0.2">
      <c r="A90" s="3">
        <v>239</v>
      </c>
      <c r="B90" t="s">
        <v>25</v>
      </c>
      <c r="C90" s="2">
        <v>48.2</v>
      </c>
      <c r="D90" s="4">
        <v>2</v>
      </c>
      <c r="E90" s="4">
        <v>2</v>
      </c>
      <c r="F90" s="5">
        <v>1</v>
      </c>
      <c r="G90" s="5">
        <v>32.799999999999997</v>
      </c>
      <c r="H90">
        <v>1</v>
      </c>
      <c r="I90" t="s">
        <v>26</v>
      </c>
      <c r="J90" s="2">
        <v>1</v>
      </c>
      <c r="K90">
        <v>3</v>
      </c>
      <c r="M90" s="2">
        <v>1.1000000000000001</v>
      </c>
      <c r="N90">
        <v>1</v>
      </c>
      <c r="O90">
        <v>2</v>
      </c>
      <c r="P90">
        <v>2</v>
      </c>
      <c r="Q90">
        <v>2</v>
      </c>
      <c r="R90">
        <v>2</v>
      </c>
      <c r="S90">
        <v>2</v>
      </c>
      <c r="T90" s="1"/>
      <c r="U90" s="1"/>
      <c r="V90" s="13"/>
      <c r="W90" s="1"/>
      <c r="Y90" s="4">
        <v>2</v>
      </c>
      <c r="Z90">
        <v>1</v>
      </c>
      <c r="AA90">
        <v>0</v>
      </c>
      <c r="AB90">
        <v>1</v>
      </c>
      <c r="AC90" s="2">
        <v>1</v>
      </c>
      <c r="AD90" s="19"/>
      <c r="AE90" s="2">
        <v>1</v>
      </c>
      <c r="AF90" s="2">
        <v>1</v>
      </c>
      <c r="AG90" s="13">
        <v>6.3</v>
      </c>
      <c r="AH90" s="13">
        <v>1</v>
      </c>
      <c r="AI90" s="4">
        <v>1</v>
      </c>
      <c r="AJ90" s="24">
        <v>10</v>
      </c>
      <c r="AK90" s="2">
        <v>0</v>
      </c>
      <c r="AL90" s="1"/>
      <c r="AM90" s="26"/>
      <c r="AN90" s="29"/>
      <c r="AO90" s="39"/>
      <c r="AP90" s="28"/>
      <c r="AQ90" s="2">
        <v>131.19999999999999</v>
      </c>
      <c r="AR90" s="29">
        <v>0.01</v>
      </c>
      <c r="AS90" s="28">
        <v>0.25</v>
      </c>
      <c r="AT90" s="13">
        <v>1</v>
      </c>
      <c r="AU90" s="29">
        <v>1.3</v>
      </c>
      <c r="AV90" s="2">
        <v>2</v>
      </c>
      <c r="AW90" s="2">
        <v>1</v>
      </c>
    </row>
    <row r="91" spans="1:49" x14ac:dyDescent="0.2">
      <c r="A91" s="3">
        <v>277</v>
      </c>
      <c r="B91" t="s">
        <v>25</v>
      </c>
      <c r="C91" s="2">
        <v>45.2</v>
      </c>
      <c r="D91" s="4">
        <v>2</v>
      </c>
      <c r="E91" s="4">
        <v>2</v>
      </c>
      <c r="F91" s="5">
        <v>1</v>
      </c>
      <c r="G91" s="5">
        <v>26.6</v>
      </c>
      <c r="H91">
        <v>1</v>
      </c>
      <c r="I91" t="s">
        <v>26</v>
      </c>
      <c r="J91" s="2">
        <v>1</v>
      </c>
      <c r="K91">
        <v>1</v>
      </c>
      <c r="M91" s="2">
        <v>1.2</v>
      </c>
      <c r="N91">
        <v>1</v>
      </c>
      <c r="O91">
        <v>1</v>
      </c>
      <c r="P91">
        <v>1</v>
      </c>
      <c r="Q91">
        <v>2</v>
      </c>
      <c r="R91">
        <v>2</v>
      </c>
      <c r="S91">
        <v>2</v>
      </c>
      <c r="T91" s="1"/>
      <c r="U91" s="1"/>
      <c r="V91" s="13"/>
      <c r="W91" s="1"/>
      <c r="Y91" s="4">
        <v>2</v>
      </c>
      <c r="Z91">
        <v>1</v>
      </c>
      <c r="AA91">
        <v>0</v>
      </c>
      <c r="AB91">
        <v>1</v>
      </c>
      <c r="AC91" s="2">
        <v>1</v>
      </c>
      <c r="AD91" s="19"/>
      <c r="AE91" s="2">
        <v>1</v>
      </c>
      <c r="AF91" s="2">
        <v>3</v>
      </c>
      <c r="AG91" s="13">
        <v>0.03</v>
      </c>
      <c r="AH91" s="15">
        <v>1.0900000000000001</v>
      </c>
      <c r="AI91" s="4">
        <v>1</v>
      </c>
      <c r="AJ91" s="24">
        <v>10</v>
      </c>
      <c r="AK91" s="2">
        <v>0</v>
      </c>
      <c r="AL91" s="1"/>
      <c r="AM91" s="26"/>
      <c r="AN91" s="28"/>
      <c r="AO91" s="39"/>
      <c r="AP91" s="28"/>
      <c r="AQ91" s="2">
        <v>70.3</v>
      </c>
      <c r="AR91" s="29">
        <v>0.39</v>
      </c>
      <c r="AS91" s="28">
        <v>1.42</v>
      </c>
      <c r="AT91" s="13">
        <v>1</v>
      </c>
      <c r="AU91" s="29">
        <v>1.4</v>
      </c>
      <c r="AV91" s="2">
        <v>2</v>
      </c>
      <c r="AW91" s="2">
        <v>1</v>
      </c>
    </row>
    <row r="92" spans="1:49" x14ac:dyDescent="0.2">
      <c r="A92" s="3">
        <v>307</v>
      </c>
      <c r="B92" t="s">
        <v>25</v>
      </c>
      <c r="C92" s="2">
        <v>42.1</v>
      </c>
      <c r="D92" s="4">
        <v>2</v>
      </c>
      <c r="E92" s="4">
        <v>2</v>
      </c>
      <c r="F92" s="5">
        <v>1</v>
      </c>
      <c r="G92" s="5">
        <v>25.3</v>
      </c>
      <c r="H92">
        <v>1</v>
      </c>
      <c r="I92" t="s">
        <v>26</v>
      </c>
      <c r="J92" s="2">
        <v>1</v>
      </c>
      <c r="K92">
        <v>1</v>
      </c>
      <c r="M92" s="2">
        <v>0.6</v>
      </c>
      <c r="N92">
        <v>1</v>
      </c>
      <c r="O92">
        <v>2</v>
      </c>
      <c r="P92">
        <v>2</v>
      </c>
      <c r="Q92">
        <v>2</v>
      </c>
      <c r="R92">
        <v>2</v>
      </c>
      <c r="S92">
        <v>2</v>
      </c>
      <c r="T92" s="1"/>
      <c r="U92" s="1"/>
      <c r="V92" s="13"/>
      <c r="W92" s="1"/>
      <c r="Y92" s="4">
        <v>2</v>
      </c>
      <c r="Z92">
        <v>1</v>
      </c>
      <c r="AA92">
        <v>0</v>
      </c>
      <c r="AB92">
        <v>1</v>
      </c>
      <c r="AC92" s="2">
        <v>1</v>
      </c>
      <c r="AD92" s="19"/>
      <c r="AE92" s="2">
        <v>1</v>
      </c>
      <c r="AF92" s="2">
        <v>1</v>
      </c>
      <c r="AG92" s="13">
        <v>4.67</v>
      </c>
      <c r="AH92" s="13">
        <v>1.1399999999999999</v>
      </c>
      <c r="AI92" s="4">
        <v>1</v>
      </c>
      <c r="AJ92" s="24">
        <v>10</v>
      </c>
      <c r="AK92" s="2">
        <v>0</v>
      </c>
      <c r="AL92" s="1"/>
      <c r="AM92" s="26"/>
      <c r="AN92" s="29"/>
      <c r="AO92" s="39"/>
      <c r="AP92" s="28"/>
      <c r="AQ92" s="2">
        <v>19.600000000000001</v>
      </c>
      <c r="AR92" s="29">
        <v>0.1</v>
      </c>
      <c r="AS92" s="28">
        <v>0.18</v>
      </c>
      <c r="AT92" s="13">
        <v>1</v>
      </c>
      <c r="AU92" s="29">
        <v>20</v>
      </c>
      <c r="AV92" s="2">
        <v>2</v>
      </c>
      <c r="AW92" s="2">
        <v>2</v>
      </c>
    </row>
    <row r="93" spans="1:49" x14ac:dyDescent="0.2">
      <c r="A93" s="3">
        <v>139</v>
      </c>
      <c r="B93" t="s">
        <v>25</v>
      </c>
      <c r="C93" s="2">
        <v>54.6</v>
      </c>
      <c r="D93" s="4">
        <v>2</v>
      </c>
      <c r="E93" s="4">
        <v>2</v>
      </c>
      <c r="F93" s="5"/>
      <c r="G93" s="5">
        <v>41.5</v>
      </c>
      <c r="H93">
        <v>1</v>
      </c>
      <c r="I93" t="s">
        <v>26</v>
      </c>
      <c r="J93" s="2">
        <v>2</v>
      </c>
      <c r="L93">
        <v>3</v>
      </c>
      <c r="M93" s="2">
        <v>8.6999999999999993</v>
      </c>
      <c r="N93">
        <v>1</v>
      </c>
      <c r="O93">
        <v>2</v>
      </c>
      <c r="P93">
        <v>2</v>
      </c>
      <c r="Q93">
        <v>1</v>
      </c>
      <c r="R93">
        <v>2</v>
      </c>
      <c r="S93">
        <v>2</v>
      </c>
      <c r="T93" s="1"/>
      <c r="U93" s="1"/>
      <c r="V93" s="13"/>
      <c r="W93" s="1"/>
      <c r="Y93" s="4">
        <v>2</v>
      </c>
      <c r="Z93">
        <v>3</v>
      </c>
      <c r="AA93">
        <v>0</v>
      </c>
      <c r="AB93">
        <v>1</v>
      </c>
      <c r="AC93" s="2">
        <v>1</v>
      </c>
      <c r="AD93" s="19"/>
      <c r="AE93" s="2">
        <v>3</v>
      </c>
      <c r="AF93" s="2">
        <v>4</v>
      </c>
      <c r="AG93" s="13">
        <v>22</v>
      </c>
      <c r="AH93" s="15">
        <v>1.2</v>
      </c>
      <c r="AI93" s="4">
        <v>1</v>
      </c>
      <c r="AJ93" s="24">
        <v>10</v>
      </c>
      <c r="AK93" s="2">
        <v>1</v>
      </c>
      <c r="AL93" s="3">
        <v>100</v>
      </c>
      <c r="AM93" s="26">
        <v>136</v>
      </c>
      <c r="AN93" s="29">
        <v>0.9</v>
      </c>
      <c r="AO93" s="38">
        <v>1</v>
      </c>
      <c r="AP93" s="34">
        <v>10</v>
      </c>
      <c r="AQ93" s="2">
        <v>25.4</v>
      </c>
      <c r="AR93" s="29">
        <v>0.02</v>
      </c>
      <c r="AS93" s="34">
        <f>0.1/2</f>
        <v>0.05</v>
      </c>
      <c r="AT93" s="13">
        <v>1</v>
      </c>
      <c r="AU93" s="29">
        <v>20</v>
      </c>
      <c r="AV93" s="2">
        <v>1</v>
      </c>
      <c r="AW93" s="2">
        <v>1</v>
      </c>
    </row>
    <row r="94" spans="1:49" x14ac:dyDescent="0.2">
      <c r="A94" s="3">
        <v>69</v>
      </c>
      <c r="B94" t="s">
        <v>25</v>
      </c>
      <c r="C94" s="2">
        <v>50.3</v>
      </c>
      <c r="D94" s="4">
        <v>2</v>
      </c>
      <c r="E94" s="4">
        <v>2</v>
      </c>
      <c r="F94" s="5">
        <v>1</v>
      </c>
      <c r="G94" s="5">
        <v>38.1</v>
      </c>
      <c r="H94">
        <v>1</v>
      </c>
      <c r="I94" t="s">
        <v>26</v>
      </c>
      <c r="J94" s="2">
        <v>1</v>
      </c>
      <c r="K94">
        <v>3</v>
      </c>
      <c r="M94" s="2">
        <v>0.6</v>
      </c>
      <c r="N94">
        <v>1</v>
      </c>
      <c r="O94">
        <v>2</v>
      </c>
      <c r="P94">
        <v>2</v>
      </c>
      <c r="Q94">
        <v>2</v>
      </c>
      <c r="R94">
        <v>2</v>
      </c>
      <c r="T94" s="1"/>
      <c r="U94" s="1"/>
      <c r="V94" s="13"/>
      <c r="W94" s="1"/>
      <c r="Y94" s="4">
        <v>2</v>
      </c>
      <c r="Z94">
        <v>1</v>
      </c>
      <c r="AA94">
        <v>3</v>
      </c>
      <c r="AB94">
        <v>1</v>
      </c>
      <c r="AC94" s="2">
        <v>1</v>
      </c>
      <c r="AD94" s="19"/>
      <c r="AE94" s="2">
        <v>1</v>
      </c>
      <c r="AF94" s="2">
        <v>1</v>
      </c>
      <c r="AG94" s="13">
        <v>78</v>
      </c>
      <c r="AH94" s="15">
        <v>1.2</v>
      </c>
      <c r="AI94" s="4">
        <v>1</v>
      </c>
      <c r="AJ94" s="24">
        <v>10</v>
      </c>
      <c r="AK94" s="2">
        <v>0</v>
      </c>
      <c r="AL94" s="1"/>
      <c r="AM94" s="26"/>
      <c r="AN94" s="29"/>
      <c r="AO94" s="39"/>
      <c r="AP94" s="28"/>
      <c r="AQ94" s="2">
        <v>93.5</v>
      </c>
      <c r="AR94" s="29">
        <v>0.14000000000000001</v>
      </c>
      <c r="AS94" s="28">
        <v>0.12</v>
      </c>
      <c r="AT94" s="13">
        <v>1</v>
      </c>
      <c r="AU94" s="29">
        <v>20</v>
      </c>
      <c r="AV94" s="2">
        <v>1</v>
      </c>
      <c r="AW94" s="2">
        <v>1</v>
      </c>
    </row>
    <row r="95" spans="1:49" x14ac:dyDescent="0.2">
      <c r="A95" s="3">
        <v>342</v>
      </c>
      <c r="B95" t="s">
        <v>25</v>
      </c>
      <c r="C95" s="2">
        <v>63.2</v>
      </c>
      <c r="D95" s="6">
        <v>2</v>
      </c>
      <c r="E95" s="6">
        <v>2</v>
      </c>
      <c r="F95" s="7">
        <v>1</v>
      </c>
      <c r="G95" s="7">
        <v>30.9</v>
      </c>
      <c r="H95">
        <v>1</v>
      </c>
      <c r="I95" t="s">
        <v>26</v>
      </c>
      <c r="J95" s="2">
        <v>1</v>
      </c>
      <c r="K95">
        <v>3</v>
      </c>
      <c r="M95" s="2">
        <v>3.5</v>
      </c>
      <c r="O95">
        <v>1</v>
      </c>
      <c r="P95">
        <v>1</v>
      </c>
      <c r="T95" s="1"/>
      <c r="U95" s="1"/>
      <c r="V95" s="14"/>
      <c r="W95" s="1"/>
      <c r="Y95" s="6"/>
      <c r="Z95">
        <v>2</v>
      </c>
      <c r="AA95">
        <v>3</v>
      </c>
      <c r="AB95">
        <v>1</v>
      </c>
      <c r="AC95" s="2">
        <v>1</v>
      </c>
      <c r="AD95" s="19"/>
      <c r="AE95" s="2">
        <v>1</v>
      </c>
      <c r="AF95" s="2">
        <v>3</v>
      </c>
      <c r="AG95" s="14">
        <v>48</v>
      </c>
      <c r="AH95" s="14">
        <v>1.2</v>
      </c>
      <c r="AI95" s="19"/>
      <c r="AJ95" s="36"/>
      <c r="AK95" s="2">
        <v>1</v>
      </c>
      <c r="AL95" s="3">
        <v>30</v>
      </c>
      <c r="AM95" s="26"/>
      <c r="AN95" s="32"/>
      <c r="AO95" s="41"/>
      <c r="AP95" s="31"/>
      <c r="AQ95" s="2">
        <v>248.9</v>
      </c>
      <c r="AR95" s="32">
        <v>3.81</v>
      </c>
      <c r="AS95" s="31">
        <v>0.3</v>
      </c>
      <c r="AT95" s="14">
        <v>1</v>
      </c>
      <c r="AU95" s="29">
        <v>20</v>
      </c>
      <c r="AV95" s="2">
        <v>1</v>
      </c>
      <c r="AW95" s="2">
        <v>1</v>
      </c>
    </row>
    <row r="96" spans="1:49" x14ac:dyDescent="0.2">
      <c r="A96" s="3">
        <v>198</v>
      </c>
      <c r="B96" t="s">
        <v>27</v>
      </c>
      <c r="C96" s="2">
        <v>55.9</v>
      </c>
      <c r="D96" s="4">
        <v>2</v>
      </c>
      <c r="E96" s="4">
        <v>2</v>
      </c>
      <c r="F96" s="5">
        <v>1</v>
      </c>
      <c r="G96" s="5">
        <v>26.5</v>
      </c>
      <c r="H96">
        <v>1</v>
      </c>
      <c r="I96" t="s">
        <v>26</v>
      </c>
      <c r="J96" s="2">
        <v>1</v>
      </c>
      <c r="K96">
        <v>3</v>
      </c>
      <c r="M96" s="2">
        <v>2</v>
      </c>
      <c r="N96">
        <v>1</v>
      </c>
      <c r="O96">
        <v>1</v>
      </c>
      <c r="P96">
        <v>1</v>
      </c>
      <c r="Q96">
        <v>1</v>
      </c>
      <c r="R96">
        <v>2</v>
      </c>
      <c r="T96" s="1"/>
      <c r="U96" s="1"/>
      <c r="V96" s="13"/>
      <c r="W96" s="1"/>
      <c r="Y96" s="4">
        <v>2</v>
      </c>
      <c r="Z96">
        <v>1</v>
      </c>
      <c r="AA96">
        <v>0</v>
      </c>
      <c r="AB96">
        <v>1</v>
      </c>
      <c r="AC96" s="2">
        <v>1</v>
      </c>
      <c r="AD96" s="19"/>
      <c r="AE96" s="2">
        <v>2</v>
      </c>
      <c r="AF96" s="2">
        <v>3</v>
      </c>
      <c r="AG96" s="13">
        <v>0.02</v>
      </c>
      <c r="AH96" s="15">
        <v>1.26</v>
      </c>
      <c r="AI96" s="4">
        <v>1</v>
      </c>
      <c r="AJ96" s="24">
        <v>10</v>
      </c>
      <c r="AK96" s="2">
        <v>1</v>
      </c>
      <c r="AL96" s="3">
        <v>150</v>
      </c>
      <c r="AM96" s="26">
        <v>68</v>
      </c>
      <c r="AN96" s="28">
        <v>2.19</v>
      </c>
      <c r="AO96" s="38">
        <v>1</v>
      </c>
      <c r="AP96" s="34">
        <v>10</v>
      </c>
      <c r="AQ96" s="2">
        <v>48.4</v>
      </c>
      <c r="AR96" s="29">
        <v>0.25</v>
      </c>
      <c r="AS96" s="28">
        <v>0.1</v>
      </c>
      <c r="AT96" s="13">
        <v>1</v>
      </c>
      <c r="AU96" s="29">
        <v>1.3</v>
      </c>
      <c r="AV96" s="2">
        <v>1</v>
      </c>
      <c r="AW96" s="2">
        <v>1</v>
      </c>
    </row>
    <row r="97" spans="1:49" x14ac:dyDescent="0.2">
      <c r="A97" s="3">
        <v>136</v>
      </c>
      <c r="B97" t="s">
        <v>25</v>
      </c>
      <c r="C97" s="2">
        <v>31.1</v>
      </c>
      <c r="D97" s="4">
        <v>2</v>
      </c>
      <c r="E97" s="4">
        <v>2</v>
      </c>
      <c r="F97" s="5">
        <v>1</v>
      </c>
      <c r="G97" s="5">
        <v>27.1</v>
      </c>
      <c r="H97">
        <v>2</v>
      </c>
      <c r="I97" t="s">
        <v>26</v>
      </c>
      <c r="J97" s="2">
        <v>1</v>
      </c>
      <c r="K97">
        <v>1</v>
      </c>
      <c r="M97" s="2">
        <v>0.8</v>
      </c>
      <c r="N97">
        <v>1</v>
      </c>
      <c r="O97">
        <v>2</v>
      </c>
      <c r="P97">
        <v>2</v>
      </c>
      <c r="Q97">
        <v>2</v>
      </c>
      <c r="R97">
        <v>2</v>
      </c>
      <c r="S97">
        <v>2</v>
      </c>
      <c r="T97" s="1"/>
      <c r="U97" s="1"/>
      <c r="V97" s="13"/>
      <c r="W97" s="1"/>
      <c r="Y97" s="4">
        <v>2</v>
      </c>
      <c r="Z97">
        <v>1</v>
      </c>
      <c r="AA97">
        <v>0</v>
      </c>
      <c r="AB97">
        <v>1</v>
      </c>
      <c r="AC97" s="2">
        <v>1</v>
      </c>
      <c r="AD97" s="19"/>
      <c r="AE97" s="2">
        <v>1</v>
      </c>
      <c r="AF97" s="2">
        <v>1</v>
      </c>
      <c r="AG97" s="13">
        <v>8.2100000000000009</v>
      </c>
      <c r="AH97" s="15">
        <v>1.28</v>
      </c>
      <c r="AI97" s="10"/>
      <c r="AJ97" s="35"/>
      <c r="AK97" s="2">
        <v>0</v>
      </c>
      <c r="AL97" s="1"/>
      <c r="AM97" s="26"/>
      <c r="AN97" s="29"/>
      <c r="AO97" s="39"/>
      <c r="AP97" s="28"/>
      <c r="AQ97" s="2">
        <v>107</v>
      </c>
      <c r="AR97" s="29">
        <v>0.01</v>
      </c>
      <c r="AS97" s="28">
        <v>0.3</v>
      </c>
      <c r="AT97" s="13">
        <v>1</v>
      </c>
      <c r="AU97" s="29">
        <v>20</v>
      </c>
      <c r="AV97" s="2">
        <v>1</v>
      </c>
      <c r="AW97" s="2">
        <v>1</v>
      </c>
    </row>
    <row r="98" spans="1:49" x14ac:dyDescent="0.2">
      <c r="A98" s="3">
        <v>256</v>
      </c>
      <c r="B98" t="s">
        <v>25</v>
      </c>
      <c r="C98" s="2">
        <v>47.5</v>
      </c>
      <c r="D98" s="4">
        <v>2</v>
      </c>
      <c r="E98" s="4">
        <v>2</v>
      </c>
      <c r="F98" s="5">
        <v>1</v>
      </c>
      <c r="G98" s="5">
        <v>26.2</v>
      </c>
      <c r="H98">
        <v>1</v>
      </c>
      <c r="I98" t="s">
        <v>26</v>
      </c>
      <c r="J98" s="2">
        <v>2</v>
      </c>
      <c r="L98">
        <v>1</v>
      </c>
      <c r="M98" s="2">
        <v>2.1</v>
      </c>
      <c r="N98">
        <v>1</v>
      </c>
      <c r="O98">
        <v>2</v>
      </c>
      <c r="P98">
        <v>2</v>
      </c>
      <c r="Q98">
        <v>2</v>
      </c>
      <c r="R98">
        <v>2</v>
      </c>
      <c r="T98" s="1"/>
      <c r="U98" s="1"/>
      <c r="V98" s="13"/>
      <c r="W98" s="1"/>
      <c r="Y98" s="4">
        <v>1</v>
      </c>
      <c r="Z98">
        <v>2</v>
      </c>
      <c r="AA98">
        <v>3</v>
      </c>
      <c r="AB98">
        <v>1</v>
      </c>
      <c r="AC98" s="2">
        <v>1</v>
      </c>
      <c r="AD98" s="19"/>
      <c r="AE98" s="2">
        <v>1</v>
      </c>
      <c r="AF98" s="2">
        <v>1</v>
      </c>
      <c r="AG98" s="13">
        <v>0.03</v>
      </c>
      <c r="AH98" s="13">
        <v>1.3</v>
      </c>
      <c r="AI98" s="4">
        <v>1</v>
      </c>
      <c r="AJ98" s="24">
        <v>10</v>
      </c>
      <c r="AK98" s="2">
        <v>1</v>
      </c>
      <c r="AL98" s="3">
        <v>50</v>
      </c>
      <c r="AM98" s="26">
        <v>150</v>
      </c>
      <c r="AN98" s="29"/>
      <c r="AO98" s="39"/>
      <c r="AP98" s="28"/>
      <c r="AQ98" s="2">
        <v>123.4</v>
      </c>
      <c r="AR98" s="29">
        <v>0.84</v>
      </c>
      <c r="AS98" s="34">
        <v>0.05</v>
      </c>
      <c r="AT98" s="13">
        <v>1</v>
      </c>
      <c r="AU98" s="29">
        <v>1.3</v>
      </c>
      <c r="AV98" s="2">
        <v>1</v>
      </c>
      <c r="AW98" s="2">
        <v>1</v>
      </c>
    </row>
    <row r="99" spans="1:49" x14ac:dyDescent="0.2">
      <c r="A99" s="3">
        <v>304</v>
      </c>
      <c r="B99" t="s">
        <v>25</v>
      </c>
      <c r="C99" s="2">
        <v>38.200000000000003</v>
      </c>
      <c r="D99" s="4">
        <v>2</v>
      </c>
      <c r="E99" s="4">
        <v>2</v>
      </c>
      <c r="F99" s="5">
        <v>1</v>
      </c>
      <c r="G99" s="5">
        <v>29</v>
      </c>
      <c r="H99">
        <v>1</v>
      </c>
      <c r="I99" t="s">
        <v>26</v>
      </c>
      <c r="J99" s="2">
        <v>1</v>
      </c>
      <c r="K99">
        <v>3</v>
      </c>
      <c r="M99" s="2">
        <v>2.8</v>
      </c>
      <c r="N99">
        <v>1</v>
      </c>
      <c r="O99">
        <v>2</v>
      </c>
      <c r="P99">
        <v>2</v>
      </c>
      <c r="Q99">
        <v>2</v>
      </c>
      <c r="R99">
        <v>2</v>
      </c>
      <c r="S99">
        <v>2</v>
      </c>
      <c r="T99" s="1"/>
      <c r="U99" s="1"/>
      <c r="V99" s="13"/>
      <c r="W99" s="1"/>
      <c r="Y99" s="4">
        <v>2</v>
      </c>
      <c r="Z99">
        <v>2</v>
      </c>
      <c r="AA99">
        <v>0</v>
      </c>
      <c r="AB99">
        <v>1</v>
      </c>
      <c r="AC99" s="2">
        <v>1</v>
      </c>
      <c r="AD99" s="19"/>
      <c r="AE99" s="2">
        <v>1</v>
      </c>
      <c r="AF99" s="2">
        <v>1</v>
      </c>
      <c r="AG99" s="13">
        <v>9</v>
      </c>
      <c r="AH99" s="13">
        <v>1.3</v>
      </c>
      <c r="AI99" s="4">
        <v>1</v>
      </c>
      <c r="AJ99" s="24">
        <v>10</v>
      </c>
      <c r="AK99" s="2">
        <v>0</v>
      </c>
      <c r="AL99" s="1"/>
      <c r="AM99" s="26"/>
      <c r="AN99" s="29"/>
      <c r="AO99" s="39"/>
      <c r="AP99" s="28"/>
      <c r="AQ99" s="2">
        <v>53.7</v>
      </c>
      <c r="AR99" s="29">
        <v>0.64</v>
      </c>
      <c r="AS99" s="28">
        <v>0.1</v>
      </c>
      <c r="AT99" s="13">
        <v>1</v>
      </c>
      <c r="AU99" s="29">
        <v>20</v>
      </c>
      <c r="AV99" s="2">
        <v>1</v>
      </c>
      <c r="AW99" s="2">
        <v>1</v>
      </c>
    </row>
    <row r="100" spans="1:49" x14ac:dyDescent="0.2">
      <c r="A100" s="3">
        <v>132</v>
      </c>
      <c r="B100" t="s">
        <v>25</v>
      </c>
      <c r="C100" s="2">
        <v>35.299999999999997</v>
      </c>
      <c r="D100" s="4">
        <v>2</v>
      </c>
      <c r="E100" s="4">
        <v>2</v>
      </c>
      <c r="F100" s="5">
        <v>1</v>
      </c>
      <c r="G100" s="5">
        <v>33.9</v>
      </c>
      <c r="H100">
        <v>2</v>
      </c>
      <c r="I100" t="s">
        <v>26</v>
      </c>
      <c r="J100" s="2">
        <v>1</v>
      </c>
      <c r="K100">
        <v>3</v>
      </c>
      <c r="M100" s="2">
        <v>0.6</v>
      </c>
      <c r="N100">
        <v>1</v>
      </c>
      <c r="O100">
        <v>2</v>
      </c>
      <c r="P100">
        <v>2</v>
      </c>
      <c r="Q100">
        <v>2</v>
      </c>
      <c r="R100">
        <v>2</v>
      </c>
      <c r="S100">
        <v>1</v>
      </c>
      <c r="T100" s="3">
        <v>5</v>
      </c>
      <c r="U100" s="3">
        <v>2</v>
      </c>
      <c r="V100" s="15">
        <v>40</v>
      </c>
      <c r="W100" s="2">
        <v>0.5</v>
      </c>
      <c r="X100">
        <v>2</v>
      </c>
      <c r="Y100" s="4">
        <v>2</v>
      </c>
      <c r="Z100">
        <v>1</v>
      </c>
      <c r="AA100">
        <v>2</v>
      </c>
      <c r="AB100">
        <v>1</v>
      </c>
      <c r="AC100" s="2">
        <v>1</v>
      </c>
      <c r="AD100" s="19"/>
      <c r="AE100" s="2">
        <v>2</v>
      </c>
      <c r="AF100" s="2">
        <v>3</v>
      </c>
      <c r="AG100" s="13">
        <v>14.2</v>
      </c>
      <c r="AH100" s="15">
        <v>4.0999999999999996</v>
      </c>
      <c r="AI100" s="4">
        <v>1</v>
      </c>
      <c r="AJ100" s="24">
        <v>10</v>
      </c>
      <c r="AK100" s="2">
        <v>1</v>
      </c>
      <c r="AL100" s="3">
        <v>30</v>
      </c>
      <c r="AM100" s="26">
        <v>16.3</v>
      </c>
      <c r="AN100" s="29">
        <v>3.2</v>
      </c>
      <c r="AO100" s="38">
        <v>1</v>
      </c>
      <c r="AP100" s="34">
        <v>10</v>
      </c>
      <c r="AQ100" s="2">
        <v>86.5</v>
      </c>
      <c r="AR100" s="29">
        <v>2.2000000000000002</v>
      </c>
      <c r="AS100" s="28">
        <v>0.19</v>
      </c>
      <c r="AT100" s="13">
        <v>1</v>
      </c>
      <c r="AU100" s="29">
        <v>20</v>
      </c>
      <c r="AV100" s="2">
        <v>1</v>
      </c>
      <c r="AW100" s="2">
        <v>1</v>
      </c>
    </row>
    <row r="101" spans="1:49" x14ac:dyDescent="0.2">
      <c r="A101" s="3">
        <v>125</v>
      </c>
      <c r="B101" t="s">
        <v>27</v>
      </c>
      <c r="C101" s="2">
        <v>32.6</v>
      </c>
      <c r="D101" s="4">
        <v>2</v>
      </c>
      <c r="E101" s="4">
        <v>2</v>
      </c>
      <c r="F101" s="5">
        <v>1</v>
      </c>
      <c r="G101" s="5">
        <v>25.5</v>
      </c>
      <c r="H101">
        <v>2</v>
      </c>
      <c r="I101" t="s">
        <v>26</v>
      </c>
      <c r="J101" s="2">
        <v>1</v>
      </c>
      <c r="K101">
        <v>1</v>
      </c>
      <c r="M101" s="2">
        <v>1.5</v>
      </c>
      <c r="N101">
        <v>1</v>
      </c>
      <c r="O101">
        <v>2</v>
      </c>
      <c r="P101">
        <v>2</v>
      </c>
      <c r="Q101">
        <v>1</v>
      </c>
      <c r="S101">
        <v>1</v>
      </c>
      <c r="T101" s="3">
        <v>54</v>
      </c>
      <c r="U101" s="3">
        <v>14</v>
      </c>
      <c r="V101" s="13">
        <v>25.93</v>
      </c>
      <c r="W101" s="2">
        <v>1.7</v>
      </c>
      <c r="X101">
        <v>1</v>
      </c>
      <c r="Y101" s="4">
        <v>2</v>
      </c>
      <c r="Z101">
        <v>1</v>
      </c>
      <c r="AA101">
        <v>2</v>
      </c>
      <c r="AB101">
        <v>1</v>
      </c>
      <c r="AC101" s="2">
        <v>1</v>
      </c>
      <c r="AD101" s="19"/>
      <c r="AE101" s="2">
        <v>2</v>
      </c>
      <c r="AF101" s="2">
        <v>4</v>
      </c>
      <c r="AG101" s="13">
        <v>4.2</v>
      </c>
      <c r="AH101" s="13">
        <v>10</v>
      </c>
      <c r="AI101" s="4">
        <v>1</v>
      </c>
      <c r="AJ101" s="25">
        <v>115</v>
      </c>
      <c r="AK101" s="2">
        <v>1</v>
      </c>
      <c r="AL101" s="3">
        <v>150</v>
      </c>
      <c r="AM101" s="26">
        <v>214</v>
      </c>
      <c r="AN101" s="28">
        <v>27</v>
      </c>
      <c r="AO101" s="38">
        <v>1</v>
      </c>
      <c r="AP101" s="34">
        <v>10</v>
      </c>
      <c r="AQ101" s="2">
        <v>59.6</v>
      </c>
      <c r="AR101" s="29" t="s">
        <v>32</v>
      </c>
      <c r="AS101" s="28">
        <v>0.7</v>
      </c>
      <c r="AT101" s="13">
        <v>1</v>
      </c>
      <c r="AU101" s="29">
        <v>24</v>
      </c>
      <c r="AV101" s="2">
        <v>2</v>
      </c>
      <c r="AW101" s="2">
        <v>2</v>
      </c>
    </row>
    <row r="102" spans="1:49" x14ac:dyDescent="0.2">
      <c r="A102" s="3">
        <v>292</v>
      </c>
      <c r="B102" t="s">
        <v>25</v>
      </c>
      <c r="C102" s="2">
        <v>59.4</v>
      </c>
      <c r="D102" s="4">
        <v>2</v>
      </c>
      <c r="E102" s="4">
        <v>2</v>
      </c>
      <c r="F102" s="5">
        <v>1</v>
      </c>
      <c r="G102" s="5">
        <v>29.9</v>
      </c>
      <c r="H102">
        <v>1</v>
      </c>
      <c r="I102" t="s">
        <v>28</v>
      </c>
      <c r="J102" s="2">
        <v>1</v>
      </c>
      <c r="K102">
        <v>1</v>
      </c>
      <c r="M102" s="2">
        <v>1.3</v>
      </c>
      <c r="N102">
        <v>2</v>
      </c>
      <c r="O102">
        <v>1</v>
      </c>
      <c r="P102">
        <v>1</v>
      </c>
      <c r="Q102">
        <v>2</v>
      </c>
      <c r="R102">
        <v>2</v>
      </c>
      <c r="S102">
        <v>2</v>
      </c>
      <c r="T102" s="1"/>
      <c r="U102" s="1"/>
      <c r="V102" s="15"/>
      <c r="W102" s="1"/>
      <c r="Y102" s="4">
        <v>2</v>
      </c>
      <c r="Z102">
        <v>1</v>
      </c>
      <c r="AA102">
        <v>0</v>
      </c>
      <c r="AB102">
        <v>1</v>
      </c>
      <c r="AC102" s="2">
        <v>1</v>
      </c>
      <c r="AD102" s="19"/>
      <c r="AE102" s="2">
        <v>2</v>
      </c>
      <c r="AF102" s="2">
        <v>3</v>
      </c>
      <c r="AG102" s="13">
        <v>1.1299999999999999</v>
      </c>
      <c r="AH102" s="15">
        <v>1.43</v>
      </c>
      <c r="AI102" s="4">
        <v>1</v>
      </c>
      <c r="AJ102" s="24">
        <v>10</v>
      </c>
      <c r="AK102" s="2">
        <v>1</v>
      </c>
      <c r="AL102" s="3">
        <v>100</v>
      </c>
      <c r="AM102" s="26">
        <v>150</v>
      </c>
      <c r="AN102" s="29">
        <v>1.6</v>
      </c>
      <c r="AO102" s="38">
        <v>1</v>
      </c>
      <c r="AP102" s="34">
        <v>10</v>
      </c>
      <c r="AQ102" s="2">
        <v>173.1</v>
      </c>
      <c r="AR102" s="29">
        <v>10.57</v>
      </c>
      <c r="AS102" s="34">
        <f>0.04/2</f>
        <v>0.02</v>
      </c>
      <c r="AT102" s="13">
        <v>1</v>
      </c>
      <c r="AU102" s="29">
        <v>1.3</v>
      </c>
      <c r="AV102" s="2">
        <v>1</v>
      </c>
      <c r="AW102" s="2">
        <v>1</v>
      </c>
    </row>
    <row r="103" spans="1:49" x14ac:dyDescent="0.2">
      <c r="A103" s="3">
        <v>2</v>
      </c>
      <c r="B103" t="s">
        <v>25</v>
      </c>
      <c r="C103" s="2">
        <v>43.6</v>
      </c>
      <c r="D103" s="4">
        <v>2</v>
      </c>
      <c r="E103" s="4">
        <v>2</v>
      </c>
      <c r="F103" s="5">
        <v>2</v>
      </c>
      <c r="G103" s="5">
        <v>25.217358579999999</v>
      </c>
      <c r="H103">
        <v>2</v>
      </c>
      <c r="I103" t="s">
        <v>26</v>
      </c>
      <c r="J103" s="2">
        <v>1</v>
      </c>
      <c r="K103">
        <v>3</v>
      </c>
      <c r="M103" s="2">
        <v>0.4</v>
      </c>
      <c r="N103">
        <v>1</v>
      </c>
      <c r="O103">
        <v>1</v>
      </c>
      <c r="P103">
        <v>2</v>
      </c>
      <c r="Q103">
        <v>2</v>
      </c>
      <c r="R103">
        <v>2</v>
      </c>
      <c r="S103">
        <v>2</v>
      </c>
      <c r="T103" s="1"/>
      <c r="U103" s="1"/>
      <c r="V103" s="13"/>
      <c r="W103" s="1"/>
      <c r="Y103" s="4">
        <v>1</v>
      </c>
      <c r="Z103">
        <v>1</v>
      </c>
      <c r="AA103">
        <v>0</v>
      </c>
      <c r="AB103">
        <v>1</v>
      </c>
      <c r="AC103" s="2">
        <v>1</v>
      </c>
      <c r="AD103" s="19"/>
      <c r="AE103" s="2">
        <v>1</v>
      </c>
      <c r="AF103" s="2">
        <v>2</v>
      </c>
      <c r="AG103" s="13">
        <v>49.92</v>
      </c>
      <c r="AH103" s="15">
        <v>1.57</v>
      </c>
      <c r="AI103" s="4">
        <v>1</v>
      </c>
      <c r="AJ103" s="15">
        <v>27</v>
      </c>
      <c r="AK103" s="2">
        <v>1</v>
      </c>
      <c r="AL103" s="3">
        <v>30</v>
      </c>
      <c r="AM103" s="26">
        <v>150</v>
      </c>
      <c r="AN103" s="28">
        <v>0.5</v>
      </c>
      <c r="AO103" s="38">
        <v>1</v>
      </c>
      <c r="AP103" s="28">
        <v>20</v>
      </c>
      <c r="AQ103" s="2">
        <v>134</v>
      </c>
      <c r="AR103" s="29">
        <v>1.17</v>
      </c>
      <c r="AS103" s="30">
        <f>0.1/2</f>
        <v>0.05</v>
      </c>
      <c r="AT103" s="13">
        <v>1</v>
      </c>
      <c r="AU103" s="29">
        <v>1.3</v>
      </c>
      <c r="AV103" s="2">
        <v>1</v>
      </c>
      <c r="AW103" s="2">
        <v>1</v>
      </c>
    </row>
    <row r="104" spans="1:49" x14ac:dyDescent="0.2">
      <c r="A104" s="3">
        <v>205</v>
      </c>
      <c r="B104" t="s">
        <v>25</v>
      </c>
      <c r="C104" s="2">
        <v>46.9</v>
      </c>
      <c r="D104" s="4">
        <v>2</v>
      </c>
      <c r="E104" s="4">
        <v>2</v>
      </c>
      <c r="F104" s="5">
        <v>1</v>
      </c>
      <c r="G104" s="5">
        <v>34.1</v>
      </c>
      <c r="H104">
        <v>1</v>
      </c>
      <c r="I104" t="s">
        <v>26</v>
      </c>
      <c r="J104" s="2">
        <v>1</v>
      </c>
      <c r="K104">
        <v>3</v>
      </c>
      <c r="M104" s="2">
        <v>6.1</v>
      </c>
      <c r="N104">
        <v>3</v>
      </c>
      <c r="O104">
        <v>2</v>
      </c>
      <c r="P104">
        <v>2</v>
      </c>
      <c r="S104">
        <v>2</v>
      </c>
      <c r="T104" s="1"/>
      <c r="U104" s="1"/>
      <c r="V104" s="13"/>
      <c r="W104" s="1"/>
      <c r="Y104" s="4"/>
      <c r="Z104">
        <v>4</v>
      </c>
      <c r="AA104">
        <v>0</v>
      </c>
      <c r="AB104">
        <v>1</v>
      </c>
      <c r="AC104" s="2">
        <v>2</v>
      </c>
      <c r="AD104" s="19"/>
      <c r="AE104" s="2">
        <v>3</v>
      </c>
      <c r="AF104" s="2">
        <v>4</v>
      </c>
      <c r="AG104" s="13">
        <v>150</v>
      </c>
      <c r="AH104" s="13">
        <v>1.68</v>
      </c>
      <c r="AI104" s="4">
        <v>1</v>
      </c>
      <c r="AJ104" s="13">
        <v>32</v>
      </c>
      <c r="AK104" s="2">
        <v>1</v>
      </c>
      <c r="AL104" s="3">
        <v>100</v>
      </c>
      <c r="AM104" s="26"/>
      <c r="AN104" s="29"/>
      <c r="AO104" s="39"/>
      <c r="AP104" s="28"/>
      <c r="AQ104" s="2">
        <v>157.30000000000001</v>
      </c>
      <c r="AR104" s="29">
        <v>17.809999999999999</v>
      </c>
      <c r="AS104" s="34">
        <f>0.1/2</f>
        <v>0.05</v>
      </c>
      <c r="AT104" s="13">
        <v>1</v>
      </c>
      <c r="AU104" s="29">
        <v>20</v>
      </c>
      <c r="AV104" s="2">
        <v>1</v>
      </c>
      <c r="AW104" s="2">
        <v>1</v>
      </c>
    </row>
    <row r="105" spans="1:49" x14ac:dyDescent="0.2">
      <c r="A105" s="3">
        <v>390</v>
      </c>
      <c r="B105" t="s">
        <v>25</v>
      </c>
      <c r="C105" s="2">
        <v>44.6</v>
      </c>
      <c r="D105" s="4">
        <v>2</v>
      </c>
      <c r="E105" s="4">
        <v>2</v>
      </c>
      <c r="F105" s="5">
        <v>1</v>
      </c>
      <c r="G105" s="5">
        <v>32</v>
      </c>
      <c r="H105">
        <v>2</v>
      </c>
      <c r="I105" t="s">
        <v>26</v>
      </c>
      <c r="J105" s="2">
        <v>1</v>
      </c>
      <c r="K105">
        <v>1</v>
      </c>
      <c r="M105" s="2">
        <v>1.6</v>
      </c>
      <c r="N105">
        <v>1</v>
      </c>
      <c r="O105">
        <v>1</v>
      </c>
      <c r="P105">
        <v>1</v>
      </c>
      <c r="Q105">
        <v>1</v>
      </c>
      <c r="R105">
        <v>2</v>
      </c>
      <c r="S105">
        <v>1</v>
      </c>
      <c r="T105" s="3">
        <v>12</v>
      </c>
      <c r="U105" s="3">
        <v>7</v>
      </c>
      <c r="V105" s="13">
        <v>58.33</v>
      </c>
      <c r="W105" s="2">
        <v>3.3</v>
      </c>
      <c r="X105">
        <v>2</v>
      </c>
      <c r="Y105" s="4">
        <v>2</v>
      </c>
      <c r="Z105">
        <v>1</v>
      </c>
      <c r="AA105">
        <v>2</v>
      </c>
      <c r="AB105">
        <v>1</v>
      </c>
      <c r="AC105" s="2">
        <v>1</v>
      </c>
      <c r="AD105" s="19"/>
      <c r="AE105" s="2">
        <v>3</v>
      </c>
      <c r="AF105" s="2">
        <v>4</v>
      </c>
      <c r="AG105" s="13">
        <v>0.01</v>
      </c>
      <c r="AH105" s="13">
        <v>23.3</v>
      </c>
      <c r="AI105" s="4">
        <v>1</v>
      </c>
      <c r="AJ105" s="37">
        <f>1.3/2</f>
        <v>0.65</v>
      </c>
      <c r="AK105" s="2">
        <v>1</v>
      </c>
      <c r="AL105" s="3">
        <v>150</v>
      </c>
      <c r="AM105" s="26">
        <v>75.790000000000006</v>
      </c>
      <c r="AN105" s="29">
        <v>665</v>
      </c>
      <c r="AO105" s="38">
        <v>1</v>
      </c>
      <c r="AP105" s="34">
        <f>1.3/2</f>
        <v>0.65</v>
      </c>
      <c r="AQ105" s="2">
        <v>21</v>
      </c>
      <c r="AR105" s="29">
        <v>0.02</v>
      </c>
      <c r="AS105" s="28">
        <v>3.12</v>
      </c>
      <c r="AT105" s="13">
        <v>1</v>
      </c>
      <c r="AU105" s="29">
        <v>1.3</v>
      </c>
      <c r="AV105" s="2">
        <v>3</v>
      </c>
      <c r="AW105" s="2">
        <v>3</v>
      </c>
    </row>
    <row r="106" spans="1:49" x14ac:dyDescent="0.2">
      <c r="A106" s="3">
        <v>135</v>
      </c>
      <c r="B106" t="s">
        <v>25</v>
      </c>
      <c r="C106" s="2">
        <v>58.3</v>
      </c>
      <c r="D106" s="4">
        <v>2</v>
      </c>
      <c r="E106" s="4">
        <v>2</v>
      </c>
      <c r="F106" s="5">
        <v>1</v>
      </c>
      <c r="G106" s="5">
        <v>34.9</v>
      </c>
      <c r="H106">
        <v>1</v>
      </c>
      <c r="I106" t="s">
        <v>26</v>
      </c>
      <c r="J106" s="2">
        <v>1</v>
      </c>
      <c r="K106">
        <v>3</v>
      </c>
      <c r="M106" s="2">
        <v>0.6</v>
      </c>
      <c r="N106">
        <v>1</v>
      </c>
      <c r="O106">
        <v>1</v>
      </c>
      <c r="P106">
        <v>2</v>
      </c>
      <c r="Q106">
        <v>2</v>
      </c>
      <c r="R106">
        <v>2</v>
      </c>
      <c r="S106">
        <v>2</v>
      </c>
      <c r="T106" s="1"/>
      <c r="U106" s="1"/>
      <c r="V106" s="13"/>
      <c r="W106" s="1"/>
      <c r="Y106" s="4">
        <v>2</v>
      </c>
      <c r="Z106">
        <v>1</v>
      </c>
      <c r="AA106">
        <v>0</v>
      </c>
      <c r="AB106">
        <v>1</v>
      </c>
      <c r="AC106" s="2">
        <v>1</v>
      </c>
      <c r="AD106" s="19"/>
      <c r="AE106" s="2">
        <v>1</v>
      </c>
      <c r="AF106" s="2">
        <v>1</v>
      </c>
      <c r="AG106" s="13">
        <v>12.9</v>
      </c>
      <c r="AH106" s="15">
        <v>2.1800000000000002</v>
      </c>
      <c r="AI106" s="4">
        <v>1</v>
      </c>
      <c r="AJ106" s="24">
        <v>10</v>
      </c>
      <c r="AK106" s="2">
        <v>1</v>
      </c>
      <c r="AL106" s="3">
        <v>100</v>
      </c>
      <c r="AM106" s="26">
        <v>31</v>
      </c>
      <c r="AN106" s="28">
        <v>5.7</v>
      </c>
      <c r="AO106" s="38">
        <v>1</v>
      </c>
      <c r="AP106" s="34">
        <v>10</v>
      </c>
      <c r="AQ106" s="2">
        <v>121.2</v>
      </c>
      <c r="AR106" s="29">
        <v>1.32</v>
      </c>
      <c r="AS106" s="34">
        <f>0.1/2</f>
        <v>0.05</v>
      </c>
      <c r="AT106" s="13">
        <v>1</v>
      </c>
      <c r="AU106" s="29">
        <v>20</v>
      </c>
      <c r="AV106" s="2">
        <v>1</v>
      </c>
      <c r="AW106" s="2">
        <v>1</v>
      </c>
    </row>
    <row r="107" spans="1:49" x14ac:dyDescent="0.2">
      <c r="A107" s="3">
        <v>47</v>
      </c>
      <c r="B107" t="s">
        <v>27</v>
      </c>
      <c r="C107" s="2">
        <v>30.2</v>
      </c>
      <c r="D107" s="4">
        <v>2</v>
      </c>
      <c r="E107" s="4">
        <v>2</v>
      </c>
      <c r="F107" s="5"/>
      <c r="G107" s="5">
        <v>34.299999999999997</v>
      </c>
      <c r="H107">
        <v>2</v>
      </c>
      <c r="I107" t="s">
        <v>26</v>
      </c>
      <c r="J107" s="2">
        <v>1</v>
      </c>
      <c r="K107">
        <v>1</v>
      </c>
      <c r="M107" s="2">
        <v>2.2999999999999998</v>
      </c>
      <c r="N107">
        <v>1</v>
      </c>
      <c r="O107">
        <v>1</v>
      </c>
      <c r="P107">
        <v>2</v>
      </c>
      <c r="Q107">
        <v>1</v>
      </c>
      <c r="R107">
        <v>2</v>
      </c>
      <c r="S107">
        <v>1</v>
      </c>
      <c r="T107" s="3">
        <v>47</v>
      </c>
      <c r="U107" s="3">
        <v>17</v>
      </c>
      <c r="V107" s="13">
        <v>36.17</v>
      </c>
      <c r="W107" s="2">
        <v>5</v>
      </c>
      <c r="X107">
        <v>1</v>
      </c>
      <c r="Y107" s="4">
        <v>2</v>
      </c>
      <c r="Z107">
        <v>2</v>
      </c>
      <c r="AA107">
        <v>2</v>
      </c>
      <c r="AB107">
        <v>1</v>
      </c>
      <c r="AC107" s="2">
        <v>1</v>
      </c>
      <c r="AD107" s="6">
        <v>1</v>
      </c>
      <c r="AE107" s="2">
        <v>3</v>
      </c>
      <c r="AF107" s="2">
        <v>4</v>
      </c>
      <c r="AG107" s="13">
        <v>0.04</v>
      </c>
      <c r="AH107" s="15">
        <v>23.5</v>
      </c>
      <c r="AI107" s="4">
        <v>1</v>
      </c>
      <c r="AJ107" s="15">
        <v>20</v>
      </c>
      <c r="AK107" s="2">
        <v>1</v>
      </c>
      <c r="AL107" s="3">
        <v>200</v>
      </c>
      <c r="AM107" s="26">
        <v>76.05</v>
      </c>
      <c r="AN107" s="29">
        <v>101</v>
      </c>
      <c r="AO107" s="38">
        <v>1</v>
      </c>
      <c r="AP107" s="34">
        <v>10</v>
      </c>
      <c r="AQ107" s="2">
        <v>62.1</v>
      </c>
      <c r="AR107" s="29">
        <v>0.28000000000000003</v>
      </c>
      <c r="AS107" s="28">
        <v>9.0399999999999991</v>
      </c>
      <c r="AT107" s="13">
        <v>1</v>
      </c>
      <c r="AU107" s="29">
        <v>1.3</v>
      </c>
      <c r="AV107" s="2">
        <v>3</v>
      </c>
      <c r="AW107" s="2">
        <v>3</v>
      </c>
    </row>
    <row r="108" spans="1:49" x14ac:dyDescent="0.2">
      <c r="A108" s="3">
        <v>73</v>
      </c>
      <c r="B108" t="s">
        <v>25</v>
      </c>
      <c r="C108" s="2">
        <v>40.5</v>
      </c>
      <c r="D108" s="4">
        <v>2</v>
      </c>
      <c r="E108" s="4">
        <v>2</v>
      </c>
      <c r="F108" s="5">
        <v>1</v>
      </c>
      <c r="G108" s="5">
        <v>27.1</v>
      </c>
      <c r="H108">
        <v>1</v>
      </c>
      <c r="I108" t="s">
        <v>26</v>
      </c>
      <c r="J108" s="2">
        <v>1</v>
      </c>
      <c r="K108">
        <v>3</v>
      </c>
      <c r="M108" s="2">
        <v>0.9</v>
      </c>
      <c r="N108">
        <v>1</v>
      </c>
      <c r="O108">
        <v>2</v>
      </c>
      <c r="P108">
        <v>2</v>
      </c>
      <c r="Q108">
        <v>1</v>
      </c>
      <c r="R108">
        <v>2</v>
      </c>
      <c r="S108">
        <v>2</v>
      </c>
      <c r="T108" s="1"/>
      <c r="U108" s="1"/>
      <c r="V108" s="13"/>
      <c r="W108" s="1"/>
      <c r="Y108" s="4">
        <v>2</v>
      </c>
      <c r="Z108">
        <v>1</v>
      </c>
      <c r="AA108">
        <v>0</v>
      </c>
      <c r="AB108">
        <v>1</v>
      </c>
      <c r="AC108" s="2">
        <v>1</v>
      </c>
      <c r="AD108" s="19"/>
      <c r="AE108" s="2">
        <v>2</v>
      </c>
      <c r="AF108" s="2">
        <v>3</v>
      </c>
      <c r="AG108" s="13">
        <v>13.75</v>
      </c>
      <c r="AH108" s="13">
        <v>2.4</v>
      </c>
      <c r="AI108" s="4">
        <v>1</v>
      </c>
      <c r="AJ108" s="24">
        <v>10</v>
      </c>
      <c r="AK108" s="2">
        <v>1</v>
      </c>
      <c r="AL108" s="3">
        <v>30</v>
      </c>
      <c r="AM108" s="26"/>
      <c r="AN108" s="29"/>
      <c r="AO108" s="39"/>
      <c r="AP108" s="28"/>
      <c r="AQ108" s="2">
        <v>84.5</v>
      </c>
      <c r="AR108" s="29">
        <v>1.36</v>
      </c>
      <c r="AS108" s="34">
        <v>0.05</v>
      </c>
      <c r="AT108" s="13">
        <v>1</v>
      </c>
      <c r="AU108" s="29">
        <v>1.3</v>
      </c>
      <c r="AV108" s="2">
        <v>1</v>
      </c>
      <c r="AW108" s="2">
        <v>1</v>
      </c>
    </row>
    <row r="109" spans="1:49" x14ac:dyDescent="0.2">
      <c r="A109" s="3">
        <v>408</v>
      </c>
      <c r="B109" t="s">
        <v>27</v>
      </c>
      <c r="C109" s="2">
        <v>68.400000000000006</v>
      </c>
      <c r="D109" s="4">
        <v>2</v>
      </c>
      <c r="E109" s="4">
        <v>2</v>
      </c>
      <c r="F109" s="5">
        <v>1</v>
      </c>
      <c r="G109" s="5">
        <v>31.6</v>
      </c>
      <c r="H109">
        <v>2</v>
      </c>
      <c r="I109" t="s">
        <v>28</v>
      </c>
      <c r="J109" s="2">
        <v>1</v>
      </c>
      <c r="K109">
        <v>1</v>
      </c>
      <c r="M109" s="2">
        <v>1.8</v>
      </c>
      <c r="N109">
        <v>1</v>
      </c>
      <c r="O109">
        <v>1</v>
      </c>
      <c r="P109">
        <v>1</v>
      </c>
      <c r="Q109">
        <v>1</v>
      </c>
      <c r="R109">
        <v>2</v>
      </c>
      <c r="S109">
        <v>1</v>
      </c>
      <c r="T109" s="3">
        <v>45</v>
      </c>
      <c r="U109" s="3">
        <v>24</v>
      </c>
      <c r="V109" s="13">
        <v>53.33</v>
      </c>
      <c r="W109" s="2">
        <v>1.8</v>
      </c>
      <c r="X109">
        <v>1</v>
      </c>
      <c r="Y109" s="4">
        <v>2</v>
      </c>
      <c r="Z109">
        <v>1</v>
      </c>
      <c r="AA109">
        <v>2</v>
      </c>
      <c r="AB109">
        <v>1</v>
      </c>
      <c r="AC109" s="2">
        <v>2</v>
      </c>
      <c r="AD109" s="19"/>
      <c r="AE109" s="2">
        <v>2</v>
      </c>
      <c r="AF109" s="2">
        <v>4</v>
      </c>
      <c r="AG109" s="13">
        <v>2.71</v>
      </c>
      <c r="AH109" s="15">
        <v>37.1</v>
      </c>
      <c r="AI109" s="4">
        <v>1</v>
      </c>
      <c r="AJ109" s="37">
        <f>1.3/2</f>
        <v>0.65</v>
      </c>
      <c r="AK109" s="2">
        <v>1</v>
      </c>
      <c r="AL109" s="3">
        <v>150</v>
      </c>
      <c r="AM109" s="26">
        <v>73.400000000000006</v>
      </c>
      <c r="AN109" s="29">
        <v>287</v>
      </c>
      <c r="AO109" s="38">
        <v>1</v>
      </c>
      <c r="AP109" s="28">
        <v>1.8</v>
      </c>
      <c r="AQ109" s="2">
        <v>23.4</v>
      </c>
      <c r="AR109" s="29">
        <v>0.11</v>
      </c>
      <c r="AS109" s="28">
        <v>22.3</v>
      </c>
      <c r="AT109" s="13">
        <v>1</v>
      </c>
      <c r="AU109" s="29">
        <v>1.3</v>
      </c>
      <c r="AV109" s="2">
        <v>4</v>
      </c>
      <c r="AW109" s="2">
        <v>4</v>
      </c>
    </row>
    <row r="110" spans="1:49" x14ac:dyDescent="0.2">
      <c r="A110" s="3">
        <v>157</v>
      </c>
      <c r="B110" t="s">
        <v>25</v>
      </c>
      <c r="C110" s="2">
        <v>58.3</v>
      </c>
      <c r="D110" s="4">
        <v>2</v>
      </c>
      <c r="E110" s="4">
        <v>2</v>
      </c>
      <c r="F110" s="5">
        <v>1</v>
      </c>
      <c r="G110" s="5">
        <v>36.9</v>
      </c>
      <c r="H110">
        <v>1</v>
      </c>
      <c r="I110" t="s">
        <v>26</v>
      </c>
      <c r="J110" s="2">
        <v>1</v>
      </c>
      <c r="K110">
        <v>1</v>
      </c>
      <c r="M110" s="2">
        <v>3</v>
      </c>
      <c r="N110">
        <v>1</v>
      </c>
      <c r="O110">
        <v>1</v>
      </c>
      <c r="P110">
        <v>1</v>
      </c>
      <c r="Q110">
        <v>1</v>
      </c>
      <c r="R110">
        <v>2</v>
      </c>
      <c r="S110">
        <v>2</v>
      </c>
      <c r="T110" s="1"/>
      <c r="U110" s="1"/>
      <c r="V110" s="13"/>
      <c r="W110" s="1"/>
      <c r="Y110" s="4">
        <v>2</v>
      </c>
      <c r="Z110">
        <v>2</v>
      </c>
      <c r="AA110">
        <v>0</v>
      </c>
      <c r="AB110">
        <v>2</v>
      </c>
      <c r="AC110" s="2">
        <v>4</v>
      </c>
      <c r="AD110" s="19"/>
      <c r="AE110" s="2">
        <v>3</v>
      </c>
      <c r="AF110" s="2">
        <v>4</v>
      </c>
      <c r="AG110" s="13">
        <v>1.49</v>
      </c>
      <c r="AH110" s="15">
        <v>2.61</v>
      </c>
      <c r="AI110" s="4">
        <v>1</v>
      </c>
      <c r="AJ110" s="24">
        <v>10</v>
      </c>
      <c r="AK110" s="2">
        <v>1</v>
      </c>
      <c r="AL110" s="3">
        <v>150</v>
      </c>
      <c r="AM110" s="26">
        <v>88</v>
      </c>
      <c r="AN110" s="29">
        <v>3.86</v>
      </c>
      <c r="AO110" s="39"/>
      <c r="AP110" s="28"/>
      <c r="AQ110" s="2">
        <v>37.4</v>
      </c>
      <c r="AR110" s="29">
        <v>0.25</v>
      </c>
      <c r="AS110" s="28">
        <v>8.85</v>
      </c>
      <c r="AT110" s="13">
        <v>1</v>
      </c>
      <c r="AU110" s="29">
        <v>1.3</v>
      </c>
      <c r="AV110" s="2">
        <v>4</v>
      </c>
      <c r="AW110" s="2">
        <v>4</v>
      </c>
    </row>
    <row r="111" spans="1:49" x14ac:dyDescent="0.2">
      <c r="A111" s="3">
        <v>201</v>
      </c>
      <c r="B111" t="s">
        <v>25</v>
      </c>
      <c r="C111" s="2">
        <v>37.4</v>
      </c>
      <c r="D111" s="4">
        <v>2</v>
      </c>
      <c r="E111" s="4">
        <v>2</v>
      </c>
      <c r="F111" s="5">
        <v>1</v>
      </c>
      <c r="G111" s="5">
        <v>24.8</v>
      </c>
      <c r="H111">
        <v>2</v>
      </c>
      <c r="I111" t="s">
        <v>28</v>
      </c>
      <c r="J111" s="2">
        <v>1</v>
      </c>
      <c r="K111">
        <v>1</v>
      </c>
      <c r="M111" s="2">
        <v>4.0999999999999996</v>
      </c>
      <c r="N111">
        <v>3</v>
      </c>
      <c r="O111">
        <v>2</v>
      </c>
      <c r="P111">
        <v>2</v>
      </c>
      <c r="Q111">
        <v>1</v>
      </c>
      <c r="R111">
        <v>2</v>
      </c>
      <c r="S111">
        <v>1</v>
      </c>
      <c r="T111" s="3">
        <v>4</v>
      </c>
      <c r="U111" s="3">
        <v>1</v>
      </c>
      <c r="V111" s="13">
        <v>25</v>
      </c>
      <c r="W111" s="2">
        <v>0.8</v>
      </c>
      <c r="X111">
        <v>2</v>
      </c>
      <c r="Y111" s="4">
        <v>1</v>
      </c>
      <c r="Z111">
        <v>3</v>
      </c>
      <c r="AA111">
        <v>2</v>
      </c>
      <c r="AB111">
        <v>1</v>
      </c>
      <c r="AC111" s="2">
        <v>1</v>
      </c>
      <c r="AD111" s="6">
        <v>1</v>
      </c>
      <c r="AE111" s="2">
        <v>3</v>
      </c>
      <c r="AF111" s="2">
        <v>4</v>
      </c>
      <c r="AG111" s="13">
        <v>0.5</v>
      </c>
      <c r="AH111" s="15">
        <v>54.3</v>
      </c>
      <c r="AI111" s="4">
        <v>1</v>
      </c>
      <c r="AJ111" s="24">
        <v>10</v>
      </c>
      <c r="AK111" s="2">
        <v>1</v>
      </c>
      <c r="AL111" s="3">
        <v>150</v>
      </c>
      <c r="AM111" s="26">
        <v>21</v>
      </c>
      <c r="AN111" s="33">
        <v>300</v>
      </c>
      <c r="AO111" s="38">
        <v>1</v>
      </c>
      <c r="AP111" s="34">
        <v>10</v>
      </c>
      <c r="AQ111" s="2">
        <v>90.1</v>
      </c>
      <c r="AR111" s="29">
        <v>0.08</v>
      </c>
      <c r="AS111" s="28">
        <v>6.14</v>
      </c>
      <c r="AT111" s="13">
        <v>1</v>
      </c>
      <c r="AU111" s="29">
        <v>1.5</v>
      </c>
      <c r="AV111" s="2">
        <v>4</v>
      </c>
      <c r="AW111" s="2">
        <v>4</v>
      </c>
    </row>
    <row r="112" spans="1:49" x14ac:dyDescent="0.2">
      <c r="A112" s="3">
        <v>180</v>
      </c>
      <c r="B112" t="s">
        <v>25</v>
      </c>
      <c r="C112" s="2">
        <v>63.6</v>
      </c>
      <c r="D112" s="4">
        <v>2</v>
      </c>
      <c r="E112" s="4">
        <v>2</v>
      </c>
      <c r="F112" s="5">
        <v>1</v>
      </c>
      <c r="G112" s="5">
        <v>41.6</v>
      </c>
      <c r="H112">
        <v>2</v>
      </c>
      <c r="I112" t="s">
        <v>26</v>
      </c>
      <c r="J112" s="2">
        <v>1</v>
      </c>
      <c r="K112">
        <v>3</v>
      </c>
      <c r="M112" s="2">
        <v>7</v>
      </c>
      <c r="N112">
        <v>1</v>
      </c>
      <c r="O112">
        <v>2</v>
      </c>
      <c r="P112">
        <v>2</v>
      </c>
      <c r="Q112">
        <v>2</v>
      </c>
      <c r="R112">
        <v>2</v>
      </c>
      <c r="S112">
        <v>2</v>
      </c>
      <c r="T112" s="1"/>
      <c r="U112" s="1"/>
      <c r="V112" s="13"/>
      <c r="W112" s="1"/>
      <c r="Y112" s="4">
        <v>1</v>
      </c>
      <c r="Z112">
        <v>3</v>
      </c>
      <c r="AA112">
        <v>0</v>
      </c>
      <c r="AB112">
        <v>1</v>
      </c>
      <c r="AC112" s="2">
        <v>2</v>
      </c>
      <c r="AD112" s="19"/>
      <c r="AE112" s="2">
        <v>2</v>
      </c>
      <c r="AF112" s="2">
        <v>2</v>
      </c>
      <c r="AG112" s="13">
        <v>0.02</v>
      </c>
      <c r="AH112" s="15">
        <v>3.1</v>
      </c>
      <c r="AI112" s="4">
        <v>1</v>
      </c>
      <c r="AJ112" s="24">
        <v>10</v>
      </c>
      <c r="AK112" s="2">
        <v>1</v>
      </c>
      <c r="AL112" s="3">
        <v>100</v>
      </c>
      <c r="AM112" s="27">
        <v>150</v>
      </c>
      <c r="AN112" s="28">
        <v>205</v>
      </c>
      <c r="AO112" s="38">
        <v>1</v>
      </c>
      <c r="AP112" s="34">
        <v>10</v>
      </c>
      <c r="AQ112" s="2">
        <v>96.1</v>
      </c>
      <c r="AR112" s="29" t="s">
        <v>31</v>
      </c>
      <c r="AS112" s="28">
        <v>2.93</v>
      </c>
      <c r="AT112" s="13">
        <v>1</v>
      </c>
      <c r="AU112" s="29">
        <v>20</v>
      </c>
      <c r="AV112" s="2">
        <v>3</v>
      </c>
      <c r="AW112" s="2">
        <v>3</v>
      </c>
    </row>
    <row r="113" spans="1:49" x14ac:dyDescent="0.2">
      <c r="A113" s="3">
        <v>401</v>
      </c>
      <c r="B113" t="s">
        <v>25</v>
      </c>
      <c r="C113" s="2">
        <v>73.8</v>
      </c>
      <c r="D113" s="4">
        <v>2</v>
      </c>
      <c r="E113" s="4">
        <v>2</v>
      </c>
      <c r="F113" s="5">
        <v>1</v>
      </c>
      <c r="G113" s="5">
        <v>30.9</v>
      </c>
      <c r="H113">
        <v>1</v>
      </c>
      <c r="I113" t="s">
        <v>26</v>
      </c>
      <c r="J113" s="2">
        <v>1</v>
      </c>
      <c r="K113">
        <v>1</v>
      </c>
      <c r="M113" s="2">
        <v>0.9</v>
      </c>
      <c r="N113">
        <v>3</v>
      </c>
      <c r="O113">
        <v>2</v>
      </c>
      <c r="P113">
        <v>2</v>
      </c>
      <c r="Q113">
        <v>2</v>
      </c>
      <c r="R113">
        <v>2</v>
      </c>
      <c r="S113">
        <v>2</v>
      </c>
      <c r="T113" s="1"/>
      <c r="U113" s="1"/>
      <c r="V113" s="13"/>
      <c r="W113" s="1"/>
      <c r="Y113" s="4">
        <v>1</v>
      </c>
      <c r="Z113">
        <v>4</v>
      </c>
      <c r="AA113">
        <v>0</v>
      </c>
      <c r="AB113">
        <v>1</v>
      </c>
      <c r="AC113" s="2">
        <v>3</v>
      </c>
      <c r="AD113" s="19"/>
      <c r="AE113" s="2">
        <v>3</v>
      </c>
      <c r="AF113" s="2">
        <v>4</v>
      </c>
      <c r="AG113" s="13">
        <v>0.03</v>
      </c>
      <c r="AH113" s="15">
        <v>3.29</v>
      </c>
      <c r="AI113" s="4">
        <v>1</v>
      </c>
      <c r="AJ113" s="37">
        <f>1.3/2</f>
        <v>0.65</v>
      </c>
      <c r="AK113" s="2">
        <v>1</v>
      </c>
      <c r="AL113" s="3">
        <v>150</v>
      </c>
      <c r="AM113" s="26">
        <v>72</v>
      </c>
      <c r="AN113" s="29">
        <v>18.5</v>
      </c>
      <c r="AO113" s="38">
        <v>1</v>
      </c>
      <c r="AP113" s="28">
        <v>2</v>
      </c>
      <c r="AQ113" s="2">
        <v>14.6</v>
      </c>
      <c r="AR113" s="29">
        <v>0.01</v>
      </c>
      <c r="AS113" s="28">
        <v>0.59</v>
      </c>
      <c r="AT113" s="13">
        <v>1</v>
      </c>
      <c r="AU113" s="29">
        <v>1.3</v>
      </c>
      <c r="AV113" s="2">
        <v>2</v>
      </c>
      <c r="AW113" s="2">
        <v>2</v>
      </c>
    </row>
    <row r="114" spans="1:49" x14ac:dyDescent="0.2">
      <c r="A114" s="3">
        <v>322</v>
      </c>
      <c r="B114" t="s">
        <v>25</v>
      </c>
      <c r="C114" s="2">
        <v>35.4</v>
      </c>
      <c r="D114" s="4">
        <v>2</v>
      </c>
      <c r="E114" s="4">
        <v>2</v>
      </c>
      <c r="F114" s="5">
        <v>1</v>
      </c>
      <c r="G114" s="5">
        <v>19.2</v>
      </c>
      <c r="H114">
        <v>1</v>
      </c>
      <c r="I114" t="s">
        <v>26</v>
      </c>
      <c r="J114" s="2">
        <v>1</v>
      </c>
      <c r="K114">
        <v>3</v>
      </c>
      <c r="M114" s="2">
        <v>0.5</v>
      </c>
      <c r="N114">
        <v>1</v>
      </c>
      <c r="O114">
        <v>2</v>
      </c>
      <c r="P114">
        <v>2</v>
      </c>
      <c r="Q114">
        <v>1</v>
      </c>
      <c r="T114" s="1"/>
      <c r="U114" s="1"/>
      <c r="V114" s="13"/>
      <c r="W114" s="1"/>
      <c r="Y114" s="4">
        <v>2</v>
      </c>
      <c r="Z114">
        <v>1</v>
      </c>
      <c r="AA114">
        <v>3</v>
      </c>
      <c r="AB114">
        <v>1</v>
      </c>
      <c r="AC114" s="2">
        <v>1</v>
      </c>
      <c r="AD114" s="19"/>
      <c r="AE114" s="2">
        <v>2</v>
      </c>
      <c r="AF114" s="2">
        <v>3</v>
      </c>
      <c r="AG114" s="13">
        <v>35.369999999999997</v>
      </c>
      <c r="AH114" s="15">
        <v>3.4</v>
      </c>
      <c r="AI114" s="4">
        <v>1</v>
      </c>
      <c r="AJ114" s="24">
        <v>10</v>
      </c>
      <c r="AK114" s="2">
        <v>0</v>
      </c>
      <c r="AL114" s="1"/>
      <c r="AM114" s="26"/>
      <c r="AN114" s="28"/>
      <c r="AO114" s="39"/>
      <c r="AP114" s="28"/>
      <c r="AQ114" s="2">
        <v>104.2</v>
      </c>
      <c r="AR114" s="29">
        <v>0.62</v>
      </c>
      <c r="AS114" s="28">
        <v>0.1</v>
      </c>
      <c r="AT114" s="13">
        <v>1</v>
      </c>
      <c r="AU114" s="29">
        <v>1.5</v>
      </c>
      <c r="AV114" s="2">
        <v>1</v>
      </c>
      <c r="AW114" s="2">
        <v>1</v>
      </c>
    </row>
    <row r="115" spans="1:49" x14ac:dyDescent="0.2">
      <c r="A115" s="3">
        <v>124</v>
      </c>
      <c r="B115" t="s">
        <v>25</v>
      </c>
      <c r="C115" s="2">
        <v>55.5</v>
      </c>
      <c r="D115" s="4">
        <v>2</v>
      </c>
      <c r="E115" s="4">
        <v>2</v>
      </c>
      <c r="F115" s="5">
        <v>1</v>
      </c>
      <c r="G115" s="5">
        <v>16</v>
      </c>
      <c r="H115">
        <v>2</v>
      </c>
      <c r="I115" t="s">
        <v>28</v>
      </c>
      <c r="J115" s="2">
        <v>1</v>
      </c>
      <c r="K115">
        <v>3</v>
      </c>
      <c r="M115" s="2">
        <v>5</v>
      </c>
      <c r="N115">
        <v>2</v>
      </c>
      <c r="O115">
        <v>1</v>
      </c>
      <c r="P115">
        <v>1</v>
      </c>
      <c r="Q115">
        <v>1</v>
      </c>
      <c r="R115">
        <v>2</v>
      </c>
      <c r="S115">
        <v>1</v>
      </c>
      <c r="T115" s="3">
        <v>54</v>
      </c>
      <c r="U115" s="3">
        <v>17</v>
      </c>
      <c r="V115" s="13">
        <v>31.48</v>
      </c>
      <c r="W115" s="2">
        <v>3.1</v>
      </c>
      <c r="X115">
        <v>1</v>
      </c>
      <c r="Y115" s="4">
        <v>1</v>
      </c>
      <c r="Z115">
        <v>3</v>
      </c>
      <c r="AA115">
        <v>2</v>
      </c>
      <c r="AB115">
        <v>2</v>
      </c>
      <c r="AC115" s="2">
        <v>4</v>
      </c>
      <c r="AD115" s="6">
        <v>2</v>
      </c>
      <c r="AE115" s="2">
        <v>3</v>
      </c>
      <c r="AF115" s="2">
        <v>4</v>
      </c>
      <c r="AG115" s="13">
        <v>28</v>
      </c>
      <c r="AH115" s="15">
        <v>58</v>
      </c>
      <c r="AI115" s="4">
        <v>1</v>
      </c>
      <c r="AJ115" s="24">
        <v>10</v>
      </c>
      <c r="AK115" s="2">
        <v>1</v>
      </c>
      <c r="AL115" s="3">
        <v>200</v>
      </c>
      <c r="AM115" s="26">
        <v>108</v>
      </c>
      <c r="AN115" s="28">
        <v>155</v>
      </c>
      <c r="AO115" s="38">
        <v>1</v>
      </c>
      <c r="AP115" s="34">
        <v>10</v>
      </c>
      <c r="AQ115" s="2">
        <v>32.799999999999997</v>
      </c>
      <c r="AR115" s="29">
        <v>0.04</v>
      </c>
      <c r="AS115" s="28">
        <v>9.4700000000000006</v>
      </c>
      <c r="AT115" s="13">
        <v>1</v>
      </c>
      <c r="AU115" s="29">
        <v>1.3</v>
      </c>
      <c r="AV115" s="2">
        <v>4</v>
      </c>
      <c r="AW115" s="2">
        <v>4</v>
      </c>
    </row>
    <row r="116" spans="1:49" x14ac:dyDescent="0.2">
      <c r="A116" s="3">
        <v>40</v>
      </c>
      <c r="B116" t="s">
        <v>25</v>
      </c>
      <c r="C116" s="2">
        <v>65.2</v>
      </c>
      <c r="D116" s="4">
        <v>2</v>
      </c>
      <c r="E116" s="4">
        <v>2</v>
      </c>
      <c r="F116" s="5">
        <v>1</v>
      </c>
      <c r="G116" s="5">
        <v>24.8</v>
      </c>
      <c r="H116">
        <v>2</v>
      </c>
      <c r="I116" t="s">
        <v>26</v>
      </c>
      <c r="J116" s="2">
        <v>2</v>
      </c>
      <c r="L116">
        <v>3</v>
      </c>
      <c r="M116" s="2">
        <v>12.4</v>
      </c>
      <c r="N116">
        <v>1</v>
      </c>
      <c r="O116">
        <v>2</v>
      </c>
      <c r="P116">
        <v>2</v>
      </c>
      <c r="Q116">
        <v>1</v>
      </c>
      <c r="R116">
        <v>2</v>
      </c>
      <c r="S116">
        <v>1</v>
      </c>
      <c r="T116" s="3">
        <v>29</v>
      </c>
      <c r="U116" s="3">
        <v>14</v>
      </c>
      <c r="V116" s="13">
        <v>48.28</v>
      </c>
      <c r="W116" s="2">
        <v>5</v>
      </c>
      <c r="X116">
        <v>2</v>
      </c>
      <c r="Y116" s="4">
        <v>2</v>
      </c>
      <c r="Z116">
        <v>3</v>
      </c>
      <c r="AA116">
        <v>2</v>
      </c>
      <c r="AB116">
        <v>2</v>
      </c>
      <c r="AC116" s="2">
        <v>4</v>
      </c>
      <c r="AD116" s="19"/>
      <c r="AE116" s="2">
        <v>3</v>
      </c>
      <c r="AF116" s="2">
        <v>4</v>
      </c>
      <c r="AG116" s="13">
        <v>0.36</v>
      </c>
      <c r="AH116" s="25">
        <v>300</v>
      </c>
      <c r="AI116" s="4">
        <v>1</v>
      </c>
      <c r="AJ116" s="24">
        <v>10</v>
      </c>
      <c r="AK116" s="2">
        <v>1</v>
      </c>
      <c r="AL116" s="3">
        <v>200</v>
      </c>
      <c r="AM116" s="26">
        <v>46.1</v>
      </c>
      <c r="AN116" s="33">
        <v>30000</v>
      </c>
      <c r="AO116" s="38">
        <v>1</v>
      </c>
      <c r="AP116" s="34">
        <v>10</v>
      </c>
      <c r="AQ116" s="2">
        <v>36.9</v>
      </c>
      <c r="AR116" s="29">
        <v>0.05</v>
      </c>
      <c r="AS116" s="28">
        <v>271</v>
      </c>
      <c r="AT116" s="13">
        <v>1</v>
      </c>
      <c r="AU116" s="29">
        <v>0</v>
      </c>
      <c r="AV116" s="2">
        <v>4</v>
      </c>
      <c r="AW116" s="2">
        <v>4</v>
      </c>
    </row>
    <row r="117" spans="1:49" x14ac:dyDescent="0.2">
      <c r="A117" s="3">
        <v>143</v>
      </c>
      <c r="B117" t="s">
        <v>25</v>
      </c>
      <c r="C117" s="2">
        <v>36.299999999999997</v>
      </c>
      <c r="D117" s="6">
        <v>2</v>
      </c>
      <c r="E117" s="6">
        <v>2</v>
      </c>
      <c r="F117" s="7">
        <v>1</v>
      </c>
      <c r="G117" s="7">
        <v>25.8</v>
      </c>
      <c r="H117">
        <v>2</v>
      </c>
      <c r="I117" t="s">
        <v>26</v>
      </c>
      <c r="J117" s="2">
        <v>1</v>
      </c>
      <c r="K117">
        <v>3</v>
      </c>
      <c r="M117" s="2">
        <v>1.5</v>
      </c>
      <c r="N117">
        <v>1</v>
      </c>
      <c r="O117">
        <v>1</v>
      </c>
      <c r="P117">
        <v>2</v>
      </c>
      <c r="Q117">
        <v>2</v>
      </c>
      <c r="R117">
        <v>2</v>
      </c>
      <c r="S117">
        <v>1</v>
      </c>
      <c r="T117" s="3">
        <v>24</v>
      </c>
      <c r="U117" s="3">
        <v>9</v>
      </c>
      <c r="V117" s="14">
        <v>37.5</v>
      </c>
      <c r="W117" s="2">
        <v>2.2000000000000002</v>
      </c>
      <c r="X117">
        <v>2</v>
      </c>
      <c r="Y117" s="6">
        <v>1</v>
      </c>
      <c r="Z117">
        <v>1</v>
      </c>
      <c r="AA117">
        <v>2</v>
      </c>
      <c r="AB117">
        <v>1</v>
      </c>
      <c r="AC117" s="2">
        <v>1</v>
      </c>
      <c r="AD117" s="19"/>
      <c r="AE117" s="2">
        <v>2</v>
      </c>
      <c r="AF117" s="2">
        <v>3</v>
      </c>
      <c r="AG117" s="14">
        <v>17</v>
      </c>
      <c r="AH117" s="7"/>
      <c r="AI117" s="6">
        <v>2</v>
      </c>
      <c r="AJ117" s="17">
        <v>10</v>
      </c>
      <c r="AK117" s="2">
        <v>1</v>
      </c>
      <c r="AL117" s="3">
        <v>150</v>
      </c>
      <c r="AM117" s="26"/>
      <c r="AN117" s="32"/>
      <c r="AO117" s="41"/>
      <c r="AP117" s="31"/>
      <c r="AQ117" s="2">
        <v>232.7</v>
      </c>
      <c r="AR117" s="32">
        <v>6.12</v>
      </c>
      <c r="AS117" s="31">
        <v>0.05</v>
      </c>
      <c r="AT117" s="14">
        <v>1</v>
      </c>
      <c r="AU117" s="32">
        <v>1.5</v>
      </c>
      <c r="AV117" s="2">
        <v>1</v>
      </c>
      <c r="AW117" s="2">
        <v>1</v>
      </c>
    </row>
    <row r="118" spans="1:49" x14ac:dyDescent="0.2">
      <c r="A118" s="3">
        <v>102</v>
      </c>
      <c r="B118" t="s">
        <v>25</v>
      </c>
      <c r="C118" s="2">
        <v>37.5</v>
      </c>
      <c r="D118" s="4">
        <v>2</v>
      </c>
      <c r="E118" s="4">
        <v>2</v>
      </c>
      <c r="F118" s="5">
        <v>2</v>
      </c>
      <c r="G118" s="5">
        <v>30.1</v>
      </c>
      <c r="H118">
        <v>2</v>
      </c>
      <c r="I118" t="s">
        <v>26</v>
      </c>
      <c r="J118" s="2">
        <v>1</v>
      </c>
      <c r="K118">
        <v>3</v>
      </c>
      <c r="M118" s="2">
        <v>1.5</v>
      </c>
      <c r="N118">
        <v>1</v>
      </c>
      <c r="O118">
        <v>2</v>
      </c>
      <c r="P118">
        <v>2</v>
      </c>
      <c r="Q118">
        <v>2</v>
      </c>
      <c r="R118">
        <v>2</v>
      </c>
      <c r="S118">
        <v>1</v>
      </c>
      <c r="T118" s="3">
        <v>24</v>
      </c>
      <c r="U118" s="3">
        <v>8</v>
      </c>
      <c r="V118" s="13">
        <v>33.33</v>
      </c>
      <c r="W118" s="2">
        <v>1.8</v>
      </c>
      <c r="X118">
        <v>2</v>
      </c>
      <c r="Y118" s="4">
        <v>1</v>
      </c>
      <c r="Z118">
        <v>1</v>
      </c>
      <c r="AA118">
        <v>2</v>
      </c>
      <c r="AB118">
        <v>1</v>
      </c>
      <c r="AC118" s="2">
        <v>1</v>
      </c>
      <c r="AD118" s="6">
        <v>1</v>
      </c>
      <c r="AE118" s="2">
        <v>2</v>
      </c>
      <c r="AF118" s="2">
        <v>3</v>
      </c>
      <c r="AG118" s="13">
        <v>3.08</v>
      </c>
      <c r="AH118" s="9"/>
      <c r="AI118" s="4">
        <v>2</v>
      </c>
      <c r="AJ118" s="15">
        <v>211</v>
      </c>
      <c r="AK118" s="2">
        <v>0</v>
      </c>
      <c r="AL118" s="1"/>
      <c r="AM118" s="26"/>
      <c r="AN118" s="29"/>
      <c r="AO118" s="39"/>
      <c r="AP118" s="28"/>
      <c r="AQ118" s="2">
        <v>30.1</v>
      </c>
      <c r="AR118" s="29">
        <v>0.22</v>
      </c>
      <c r="AS118" s="28">
        <v>0.1</v>
      </c>
      <c r="AT118" s="13">
        <v>2</v>
      </c>
      <c r="AU118" s="29">
        <v>29.7</v>
      </c>
      <c r="AV118" s="2">
        <v>4</v>
      </c>
      <c r="AW118" s="2">
        <v>4</v>
      </c>
    </row>
    <row r="119" spans="1:49" x14ac:dyDescent="0.2">
      <c r="A119" s="3">
        <v>279</v>
      </c>
      <c r="B119" t="s">
        <v>25</v>
      </c>
      <c r="C119" s="2">
        <v>45.3</v>
      </c>
      <c r="D119" s="4">
        <v>2</v>
      </c>
      <c r="E119" s="4">
        <v>2</v>
      </c>
      <c r="F119" s="5">
        <v>1</v>
      </c>
      <c r="G119" s="5">
        <v>37.1</v>
      </c>
      <c r="H119">
        <v>1</v>
      </c>
      <c r="I119" t="s">
        <v>26</v>
      </c>
      <c r="J119" s="2">
        <v>1</v>
      </c>
      <c r="K119">
        <v>1</v>
      </c>
      <c r="M119" s="2">
        <v>2</v>
      </c>
      <c r="N119">
        <v>2</v>
      </c>
      <c r="O119">
        <v>1</v>
      </c>
      <c r="P119">
        <v>1</v>
      </c>
      <c r="Q119">
        <v>1</v>
      </c>
      <c r="R119">
        <v>2</v>
      </c>
      <c r="S119">
        <v>1</v>
      </c>
      <c r="T119" s="3">
        <v>23</v>
      </c>
      <c r="U119" s="3">
        <v>6</v>
      </c>
      <c r="V119" s="13">
        <v>26.09</v>
      </c>
      <c r="W119" s="2">
        <v>0.8</v>
      </c>
      <c r="Y119" s="4"/>
      <c r="Z119">
        <v>2</v>
      </c>
      <c r="AA119">
        <v>1</v>
      </c>
      <c r="AB119">
        <v>1</v>
      </c>
      <c r="AC119" s="2">
        <v>1</v>
      </c>
      <c r="AD119" s="19"/>
      <c r="AE119" s="2">
        <v>2</v>
      </c>
      <c r="AF119" s="2">
        <v>3</v>
      </c>
      <c r="AH119" s="9"/>
      <c r="AI119" s="10"/>
      <c r="AJ119" s="35"/>
      <c r="AK119" s="2">
        <v>1</v>
      </c>
      <c r="AL119" s="3">
        <v>100</v>
      </c>
      <c r="AM119" s="26">
        <v>22</v>
      </c>
      <c r="AN119" s="29">
        <v>1.1499999999999999</v>
      </c>
      <c r="AO119" s="38">
        <v>1</v>
      </c>
      <c r="AP119" s="30">
        <v>10</v>
      </c>
      <c r="AQ119" s="2">
        <v>151.9</v>
      </c>
      <c r="AR119" s="29">
        <v>0.28000000000000003</v>
      </c>
      <c r="AS119" s="28">
        <v>0.1</v>
      </c>
      <c r="AT119" s="13">
        <v>1</v>
      </c>
      <c r="AU119" s="29">
        <v>1.3</v>
      </c>
      <c r="AV119" s="2">
        <v>1</v>
      </c>
      <c r="AW119" s="2">
        <v>1</v>
      </c>
    </row>
    <row r="120" spans="1:49" x14ac:dyDescent="0.2">
      <c r="A120" s="3">
        <v>61</v>
      </c>
      <c r="B120" t="s">
        <v>25</v>
      </c>
      <c r="C120" s="2">
        <v>33.299999999999997</v>
      </c>
      <c r="D120" s="4">
        <v>2</v>
      </c>
      <c r="E120" s="4">
        <v>2</v>
      </c>
      <c r="F120" s="5">
        <v>2</v>
      </c>
      <c r="G120" s="5">
        <v>35</v>
      </c>
      <c r="H120">
        <v>1</v>
      </c>
      <c r="I120" t="s">
        <v>26</v>
      </c>
      <c r="J120" s="2">
        <v>1</v>
      </c>
      <c r="K120">
        <v>1</v>
      </c>
      <c r="M120" s="2">
        <v>1.3</v>
      </c>
      <c r="N120">
        <v>1</v>
      </c>
      <c r="O120">
        <v>1</v>
      </c>
      <c r="P120">
        <v>2</v>
      </c>
      <c r="Q120">
        <v>1</v>
      </c>
      <c r="R120">
        <v>2</v>
      </c>
      <c r="S120">
        <v>2</v>
      </c>
      <c r="T120" s="1"/>
      <c r="U120" s="1"/>
      <c r="V120" s="13"/>
      <c r="W120" s="1"/>
      <c r="Y120" s="4">
        <v>2</v>
      </c>
      <c r="Z120">
        <v>1</v>
      </c>
      <c r="AA120">
        <v>0</v>
      </c>
      <c r="AB120">
        <v>1</v>
      </c>
      <c r="AC120" s="2">
        <v>1</v>
      </c>
      <c r="AD120" s="6">
        <v>1</v>
      </c>
      <c r="AE120" s="2">
        <v>2</v>
      </c>
      <c r="AF120" s="2">
        <v>3</v>
      </c>
      <c r="AG120" s="13">
        <v>0.72</v>
      </c>
      <c r="AH120" s="15">
        <v>4.3</v>
      </c>
      <c r="AI120" s="4">
        <v>1</v>
      </c>
      <c r="AJ120" s="24">
        <v>10</v>
      </c>
      <c r="AK120" s="2">
        <v>1</v>
      </c>
      <c r="AL120" s="3">
        <v>30</v>
      </c>
      <c r="AM120" s="26">
        <v>52</v>
      </c>
      <c r="AN120" s="29">
        <v>4.9000000000000004</v>
      </c>
      <c r="AO120" s="38">
        <v>1</v>
      </c>
      <c r="AP120" s="34">
        <v>10</v>
      </c>
      <c r="AQ120" s="2">
        <v>93.1</v>
      </c>
      <c r="AR120" s="29">
        <v>2.4300000000000002</v>
      </c>
      <c r="AS120" s="28">
        <v>0.1</v>
      </c>
      <c r="AT120" s="13">
        <v>1</v>
      </c>
      <c r="AU120" s="29">
        <v>1.3</v>
      </c>
      <c r="AV120" s="2">
        <v>1</v>
      </c>
      <c r="AW120" s="2">
        <v>1</v>
      </c>
    </row>
    <row r="121" spans="1:49" x14ac:dyDescent="0.2">
      <c r="A121" s="3">
        <v>140</v>
      </c>
      <c r="B121" t="s">
        <v>25</v>
      </c>
      <c r="C121" s="2">
        <v>61.4</v>
      </c>
      <c r="D121" s="4">
        <v>2</v>
      </c>
      <c r="E121" s="4">
        <v>2</v>
      </c>
      <c r="F121" s="5">
        <v>1</v>
      </c>
      <c r="G121" s="5">
        <v>25.2</v>
      </c>
      <c r="H121">
        <v>1</v>
      </c>
      <c r="I121" t="s">
        <v>26</v>
      </c>
      <c r="J121" s="2">
        <v>1</v>
      </c>
      <c r="K121">
        <v>3</v>
      </c>
      <c r="M121" s="2">
        <v>1.5</v>
      </c>
      <c r="N121">
        <v>1</v>
      </c>
      <c r="O121">
        <v>2</v>
      </c>
      <c r="P121">
        <v>2</v>
      </c>
      <c r="Q121">
        <v>2</v>
      </c>
      <c r="R121">
        <v>2</v>
      </c>
      <c r="S121">
        <v>2</v>
      </c>
      <c r="T121" s="1"/>
      <c r="U121" s="1"/>
      <c r="V121" s="13"/>
      <c r="W121" s="1"/>
      <c r="Y121" s="4">
        <v>2</v>
      </c>
      <c r="Z121">
        <v>1</v>
      </c>
      <c r="AA121">
        <v>0</v>
      </c>
      <c r="AB121">
        <v>1</v>
      </c>
      <c r="AC121" s="2">
        <v>1</v>
      </c>
      <c r="AD121" s="19"/>
      <c r="AE121" s="2">
        <v>1</v>
      </c>
      <c r="AF121" s="2">
        <v>1</v>
      </c>
      <c r="AG121" s="13">
        <v>0.02</v>
      </c>
      <c r="AH121" s="15">
        <v>4.4000000000000004</v>
      </c>
      <c r="AI121" s="4">
        <v>1</v>
      </c>
      <c r="AJ121" s="24">
        <v>10</v>
      </c>
      <c r="AK121" s="2">
        <v>1</v>
      </c>
      <c r="AL121" s="3">
        <v>30</v>
      </c>
      <c r="AM121" s="26">
        <v>40.770000000000003</v>
      </c>
      <c r="AN121" s="29">
        <v>14.53</v>
      </c>
      <c r="AO121" s="38">
        <v>1</v>
      </c>
      <c r="AP121" s="34">
        <v>10</v>
      </c>
      <c r="AQ121" s="2">
        <v>36</v>
      </c>
      <c r="AR121" s="29">
        <v>0.65</v>
      </c>
      <c r="AS121" s="34">
        <f>0.1/2</f>
        <v>0.05</v>
      </c>
      <c r="AT121" s="13">
        <v>1</v>
      </c>
      <c r="AU121" s="29">
        <v>20</v>
      </c>
      <c r="AV121" s="2">
        <v>1</v>
      </c>
      <c r="AW121" s="2">
        <v>1</v>
      </c>
    </row>
    <row r="122" spans="1:49" x14ac:dyDescent="0.2">
      <c r="A122" s="3">
        <v>126</v>
      </c>
      <c r="B122" t="s">
        <v>27</v>
      </c>
      <c r="C122" s="2">
        <v>50.2</v>
      </c>
      <c r="D122" s="4">
        <v>2</v>
      </c>
      <c r="E122" s="4">
        <v>2</v>
      </c>
      <c r="F122" s="5">
        <v>1</v>
      </c>
      <c r="G122" s="5">
        <v>30.7</v>
      </c>
      <c r="H122">
        <v>1</v>
      </c>
      <c r="I122" t="s">
        <v>26</v>
      </c>
      <c r="J122" s="2">
        <v>1</v>
      </c>
      <c r="K122">
        <v>1</v>
      </c>
      <c r="M122" s="2">
        <v>0.7</v>
      </c>
      <c r="N122">
        <v>1</v>
      </c>
      <c r="O122">
        <v>1</v>
      </c>
      <c r="P122">
        <v>1</v>
      </c>
      <c r="Q122">
        <v>2</v>
      </c>
      <c r="R122">
        <v>2</v>
      </c>
      <c r="S122">
        <v>2</v>
      </c>
      <c r="T122" s="1"/>
      <c r="U122" s="1"/>
      <c r="V122" s="13"/>
      <c r="W122" s="1"/>
      <c r="Y122" s="4">
        <v>2</v>
      </c>
      <c r="Z122">
        <v>1</v>
      </c>
      <c r="AA122">
        <v>0</v>
      </c>
      <c r="AB122">
        <v>1</v>
      </c>
      <c r="AC122" s="2">
        <v>1</v>
      </c>
      <c r="AD122" s="19"/>
      <c r="AE122" s="2">
        <v>1</v>
      </c>
      <c r="AF122" s="2">
        <v>3</v>
      </c>
      <c r="AG122" s="13">
        <v>1.19</v>
      </c>
      <c r="AH122" s="15">
        <v>4.72</v>
      </c>
      <c r="AI122" s="4">
        <v>1</v>
      </c>
      <c r="AJ122" s="24">
        <v>10</v>
      </c>
      <c r="AK122" s="2">
        <v>0</v>
      </c>
      <c r="AL122" s="1"/>
      <c r="AM122" s="26"/>
      <c r="AN122" s="29"/>
      <c r="AO122" s="39"/>
      <c r="AP122" s="28"/>
      <c r="AQ122" s="2">
        <v>30.9</v>
      </c>
      <c r="AR122" s="29">
        <v>0.04</v>
      </c>
      <c r="AS122" s="28">
        <v>0.41</v>
      </c>
      <c r="AT122" s="13">
        <v>1</v>
      </c>
      <c r="AU122" s="29">
        <v>1.3</v>
      </c>
      <c r="AV122" s="2">
        <v>2</v>
      </c>
      <c r="AW122" s="2">
        <v>1</v>
      </c>
    </row>
    <row r="123" spans="1:49" x14ac:dyDescent="0.2">
      <c r="A123" s="3">
        <v>276</v>
      </c>
      <c r="B123" t="s">
        <v>25</v>
      </c>
      <c r="C123" s="2">
        <v>32.700000000000003</v>
      </c>
      <c r="D123" s="4">
        <v>2</v>
      </c>
      <c r="E123" s="4">
        <v>1</v>
      </c>
      <c r="F123" s="5">
        <v>2</v>
      </c>
      <c r="G123" s="5">
        <v>32.299999999999997</v>
      </c>
      <c r="H123">
        <v>1</v>
      </c>
      <c r="I123" t="s">
        <v>26</v>
      </c>
      <c r="J123" s="2">
        <v>1</v>
      </c>
      <c r="K123">
        <v>3</v>
      </c>
      <c r="M123" s="2">
        <v>5.5</v>
      </c>
      <c r="N123">
        <v>1</v>
      </c>
      <c r="O123">
        <v>2</v>
      </c>
      <c r="P123">
        <v>2</v>
      </c>
      <c r="Q123">
        <v>2</v>
      </c>
      <c r="R123">
        <v>2</v>
      </c>
      <c r="S123">
        <v>2</v>
      </c>
      <c r="T123" s="1"/>
      <c r="U123" s="1"/>
      <c r="V123" s="13"/>
      <c r="W123" s="1"/>
      <c r="Y123" s="4">
        <v>1</v>
      </c>
      <c r="Z123">
        <v>3</v>
      </c>
      <c r="AA123">
        <v>0</v>
      </c>
      <c r="AB123">
        <v>1</v>
      </c>
      <c r="AC123" s="2">
        <v>1</v>
      </c>
      <c r="AD123" s="19"/>
      <c r="AE123" s="2">
        <v>1</v>
      </c>
      <c r="AF123" s="2">
        <v>2</v>
      </c>
      <c r="AG123" s="13">
        <v>29.78</v>
      </c>
      <c r="AH123" s="15">
        <v>6.1</v>
      </c>
      <c r="AI123" s="4">
        <v>1</v>
      </c>
      <c r="AJ123" s="24">
        <v>10</v>
      </c>
      <c r="AK123" s="2">
        <v>1</v>
      </c>
      <c r="AL123" s="3">
        <v>100</v>
      </c>
      <c r="AM123" s="26">
        <v>150</v>
      </c>
      <c r="AN123" s="29">
        <v>38.799999999999997</v>
      </c>
      <c r="AO123" s="38">
        <v>1</v>
      </c>
      <c r="AP123" s="34">
        <v>10</v>
      </c>
      <c r="AQ123" s="2">
        <v>110.3</v>
      </c>
      <c r="AR123" s="29">
        <v>91.86</v>
      </c>
      <c r="AS123" s="28">
        <v>1.64</v>
      </c>
      <c r="AT123" s="13">
        <v>1</v>
      </c>
      <c r="AU123" s="29">
        <v>1.3</v>
      </c>
      <c r="AV123" s="2">
        <v>3</v>
      </c>
      <c r="AW123" s="2">
        <v>3</v>
      </c>
    </row>
    <row r="124" spans="1:49" x14ac:dyDescent="0.2">
      <c r="A124" s="3">
        <v>193</v>
      </c>
      <c r="B124" t="s">
        <v>25</v>
      </c>
      <c r="C124" s="2">
        <v>48.8</v>
      </c>
      <c r="D124" s="4">
        <v>2</v>
      </c>
      <c r="E124" s="4">
        <v>2</v>
      </c>
      <c r="F124" s="5">
        <v>1</v>
      </c>
      <c r="G124" s="5">
        <v>20.399999999999999</v>
      </c>
      <c r="H124">
        <v>2</v>
      </c>
      <c r="I124" t="s">
        <v>26</v>
      </c>
      <c r="J124" s="2">
        <v>1</v>
      </c>
      <c r="K124">
        <v>3</v>
      </c>
      <c r="M124" s="2">
        <v>2</v>
      </c>
      <c r="N124">
        <v>3</v>
      </c>
      <c r="O124">
        <v>2</v>
      </c>
      <c r="P124">
        <v>2</v>
      </c>
      <c r="Q124">
        <v>2</v>
      </c>
      <c r="R124">
        <v>2</v>
      </c>
      <c r="S124">
        <v>1</v>
      </c>
      <c r="T124" s="3">
        <v>10</v>
      </c>
      <c r="U124" s="3">
        <v>4</v>
      </c>
      <c r="V124" s="13">
        <v>40</v>
      </c>
      <c r="W124" s="2">
        <v>2</v>
      </c>
      <c r="X124">
        <v>2</v>
      </c>
      <c r="Y124" s="4">
        <v>2</v>
      </c>
      <c r="Z124">
        <v>3</v>
      </c>
      <c r="AA124">
        <v>2</v>
      </c>
      <c r="AB124">
        <v>1</v>
      </c>
      <c r="AC124" s="2">
        <v>1</v>
      </c>
      <c r="AD124" s="19"/>
      <c r="AE124" s="2">
        <v>3</v>
      </c>
      <c r="AF124" s="2">
        <v>4</v>
      </c>
      <c r="AH124" s="5"/>
      <c r="AI124" s="10"/>
      <c r="AK124" s="2">
        <v>1</v>
      </c>
      <c r="AL124" s="3">
        <v>100</v>
      </c>
      <c r="AM124" s="26">
        <v>83.79</v>
      </c>
      <c r="AN124" s="29">
        <v>37</v>
      </c>
      <c r="AO124" s="38">
        <v>1</v>
      </c>
      <c r="AP124" s="34">
        <v>10</v>
      </c>
      <c r="AQ124" s="2">
        <v>107.4</v>
      </c>
      <c r="AR124" s="29">
        <v>0.06</v>
      </c>
      <c r="AS124" s="28">
        <v>1.55</v>
      </c>
      <c r="AT124" s="13">
        <v>1</v>
      </c>
      <c r="AU124" s="29">
        <v>20</v>
      </c>
      <c r="AV124" s="2">
        <v>3</v>
      </c>
      <c r="AW124" s="2">
        <v>3</v>
      </c>
    </row>
    <row r="125" spans="1:49" x14ac:dyDescent="0.2">
      <c r="A125" s="3">
        <v>346</v>
      </c>
      <c r="B125" t="s">
        <v>25</v>
      </c>
      <c r="C125" s="2">
        <v>47.4</v>
      </c>
      <c r="D125" s="6">
        <v>2</v>
      </c>
      <c r="E125" s="6">
        <v>2</v>
      </c>
      <c r="F125" s="7">
        <v>1</v>
      </c>
      <c r="G125" s="7">
        <v>26.1</v>
      </c>
      <c r="H125">
        <v>1</v>
      </c>
      <c r="I125" t="s">
        <v>26</v>
      </c>
      <c r="J125" s="2">
        <v>1</v>
      </c>
      <c r="M125" s="2">
        <v>0.6</v>
      </c>
      <c r="N125">
        <v>1</v>
      </c>
      <c r="O125">
        <v>2</v>
      </c>
      <c r="P125">
        <v>2</v>
      </c>
      <c r="T125" s="1"/>
      <c r="U125" s="1"/>
      <c r="V125" s="14"/>
      <c r="W125" s="1"/>
      <c r="Y125" s="6">
        <v>2</v>
      </c>
      <c r="Z125">
        <v>1</v>
      </c>
      <c r="AA125">
        <v>3</v>
      </c>
      <c r="AB125">
        <v>1</v>
      </c>
      <c r="AC125" s="2">
        <v>1</v>
      </c>
      <c r="AD125" s="19"/>
      <c r="AE125" s="2">
        <v>1</v>
      </c>
      <c r="AF125" s="2">
        <v>1</v>
      </c>
      <c r="AG125" s="14">
        <v>68</v>
      </c>
      <c r="AH125" s="14">
        <v>9</v>
      </c>
      <c r="AI125" s="6">
        <v>1</v>
      </c>
      <c r="AJ125" s="17">
        <v>10</v>
      </c>
      <c r="AK125" s="2">
        <v>1</v>
      </c>
      <c r="AL125" s="3">
        <v>30</v>
      </c>
      <c r="AM125" s="26"/>
      <c r="AN125" s="31"/>
      <c r="AO125" s="41"/>
      <c r="AP125" s="31"/>
      <c r="AQ125" s="2">
        <v>269.7</v>
      </c>
      <c r="AR125" s="32">
        <v>0.94</v>
      </c>
      <c r="AS125" s="31">
        <v>0.21</v>
      </c>
      <c r="AT125" s="14">
        <v>1</v>
      </c>
      <c r="AU125" s="29">
        <v>1.3</v>
      </c>
      <c r="AV125" s="2">
        <v>1</v>
      </c>
      <c r="AW125" s="2">
        <v>1</v>
      </c>
    </row>
    <row r="126" spans="1:49" x14ac:dyDescent="0.2">
      <c r="A126" s="3">
        <v>218</v>
      </c>
      <c r="B126" t="s">
        <v>25</v>
      </c>
      <c r="C126" s="2">
        <v>32.5</v>
      </c>
      <c r="D126" s="4">
        <v>2</v>
      </c>
      <c r="E126" s="4">
        <v>2</v>
      </c>
      <c r="F126" s="5"/>
      <c r="G126" s="5"/>
      <c r="H126">
        <v>2</v>
      </c>
      <c r="I126" t="s">
        <v>26</v>
      </c>
      <c r="J126" s="2">
        <v>1</v>
      </c>
      <c r="K126">
        <v>1</v>
      </c>
      <c r="M126" s="2">
        <v>11.5</v>
      </c>
      <c r="N126">
        <v>3</v>
      </c>
      <c r="O126">
        <v>2</v>
      </c>
      <c r="P126">
        <v>2</v>
      </c>
      <c r="S126">
        <v>1</v>
      </c>
      <c r="T126" s="3">
        <v>6</v>
      </c>
      <c r="U126" s="3">
        <v>3</v>
      </c>
      <c r="V126" s="13">
        <v>50</v>
      </c>
      <c r="W126" s="2">
        <v>2.1</v>
      </c>
      <c r="X126">
        <v>2</v>
      </c>
      <c r="Y126" s="4"/>
      <c r="Z126">
        <v>4</v>
      </c>
      <c r="AA126">
        <v>2</v>
      </c>
      <c r="AB126">
        <v>1</v>
      </c>
      <c r="AC126" s="2">
        <v>1</v>
      </c>
      <c r="AD126" s="19"/>
      <c r="AE126" s="2">
        <v>3</v>
      </c>
      <c r="AF126" s="2">
        <v>4</v>
      </c>
      <c r="AH126" s="5"/>
      <c r="AI126" s="10"/>
      <c r="AJ126" s="35"/>
      <c r="AK126" s="2">
        <v>1</v>
      </c>
      <c r="AL126" s="3">
        <v>100</v>
      </c>
      <c r="AM126" s="26">
        <v>104</v>
      </c>
      <c r="AN126" s="29">
        <v>2.2000000000000002</v>
      </c>
      <c r="AO126" s="38">
        <v>2</v>
      </c>
      <c r="AP126" s="28">
        <v>1125</v>
      </c>
      <c r="AQ126" s="2">
        <v>78.099999999999994</v>
      </c>
      <c r="AR126" s="29" t="s">
        <v>31</v>
      </c>
      <c r="AS126" s="28"/>
      <c r="AT126" s="13">
        <v>2</v>
      </c>
      <c r="AU126" s="29">
        <v>445</v>
      </c>
      <c r="AV126" s="2">
        <v>2</v>
      </c>
      <c r="AW126" s="2">
        <v>2</v>
      </c>
    </row>
    <row r="127" spans="1:49" x14ac:dyDescent="0.2">
      <c r="A127" s="3">
        <v>254</v>
      </c>
      <c r="B127" t="s">
        <v>25</v>
      </c>
      <c r="C127" s="2">
        <v>38.200000000000003</v>
      </c>
      <c r="D127" s="4">
        <v>2</v>
      </c>
      <c r="E127" s="4">
        <v>2</v>
      </c>
      <c r="F127" s="5">
        <v>1</v>
      </c>
      <c r="G127" s="5">
        <v>34.6</v>
      </c>
      <c r="H127">
        <v>1</v>
      </c>
      <c r="I127" t="s">
        <v>26</v>
      </c>
      <c r="J127" s="2">
        <v>1</v>
      </c>
      <c r="K127">
        <v>1</v>
      </c>
      <c r="M127" s="2">
        <v>0.3</v>
      </c>
      <c r="N127">
        <v>1</v>
      </c>
      <c r="O127">
        <v>2</v>
      </c>
      <c r="P127">
        <v>2</v>
      </c>
      <c r="Q127">
        <v>2</v>
      </c>
      <c r="R127">
        <v>2</v>
      </c>
      <c r="S127">
        <v>2</v>
      </c>
      <c r="T127" s="1"/>
      <c r="U127" s="1"/>
      <c r="V127" s="13"/>
      <c r="W127" s="1"/>
      <c r="Y127" s="4">
        <v>2</v>
      </c>
      <c r="Z127">
        <v>1</v>
      </c>
      <c r="AA127">
        <v>0</v>
      </c>
      <c r="AB127">
        <v>1</v>
      </c>
      <c r="AC127" s="2">
        <v>1</v>
      </c>
      <c r="AD127" s="19"/>
      <c r="AE127" s="2">
        <v>1</v>
      </c>
      <c r="AF127" s="2">
        <v>1</v>
      </c>
      <c r="AG127" s="13">
        <v>0.4</v>
      </c>
      <c r="AH127" s="15">
        <v>10.199999999999999</v>
      </c>
      <c r="AI127" s="4">
        <v>1</v>
      </c>
      <c r="AJ127" s="37">
        <f>0.9/2</f>
        <v>0.45</v>
      </c>
      <c r="AK127" s="2">
        <v>0</v>
      </c>
      <c r="AL127" s="1"/>
      <c r="AM127" s="26"/>
      <c r="AN127" s="29"/>
      <c r="AO127" s="39"/>
      <c r="AP127" s="28"/>
      <c r="AQ127" s="2">
        <v>96.8</v>
      </c>
      <c r="AR127" s="29">
        <v>1.48</v>
      </c>
      <c r="AS127" s="28">
        <v>33.5</v>
      </c>
      <c r="AT127" s="13">
        <v>1</v>
      </c>
      <c r="AU127" s="29">
        <v>1.3</v>
      </c>
      <c r="AV127" s="2">
        <v>3</v>
      </c>
      <c r="AW127" s="2">
        <v>3</v>
      </c>
    </row>
    <row r="128" spans="1:49" x14ac:dyDescent="0.2">
      <c r="A128" s="3">
        <v>134</v>
      </c>
      <c r="B128" t="s">
        <v>27</v>
      </c>
      <c r="C128" s="2">
        <v>77.900000000000006</v>
      </c>
      <c r="D128" s="4">
        <v>2</v>
      </c>
      <c r="E128" s="4">
        <v>2</v>
      </c>
      <c r="F128" s="5">
        <v>1</v>
      </c>
      <c r="G128" s="5">
        <v>24</v>
      </c>
      <c r="H128">
        <v>2</v>
      </c>
      <c r="I128" t="s">
        <v>29</v>
      </c>
      <c r="J128" s="2">
        <v>1</v>
      </c>
      <c r="K128">
        <v>3</v>
      </c>
      <c r="M128" s="2">
        <v>2.5</v>
      </c>
      <c r="N128">
        <v>3</v>
      </c>
      <c r="O128">
        <v>1</v>
      </c>
      <c r="P128">
        <v>1</v>
      </c>
      <c r="Q128">
        <v>1</v>
      </c>
      <c r="S128">
        <v>1</v>
      </c>
      <c r="T128" s="3">
        <v>7</v>
      </c>
      <c r="U128" s="3">
        <v>4</v>
      </c>
      <c r="V128" s="13">
        <v>57.14</v>
      </c>
      <c r="W128" s="2">
        <v>4</v>
      </c>
      <c r="X128">
        <v>1</v>
      </c>
      <c r="Y128" s="4">
        <v>2</v>
      </c>
      <c r="Z128">
        <v>4</v>
      </c>
      <c r="AA128">
        <v>2</v>
      </c>
      <c r="AB128">
        <v>1</v>
      </c>
      <c r="AC128" s="2">
        <v>4</v>
      </c>
      <c r="AD128" s="19"/>
      <c r="AE128" s="2">
        <v>3</v>
      </c>
      <c r="AF128" s="2">
        <v>4</v>
      </c>
      <c r="AH128" s="9"/>
      <c r="AI128" s="10"/>
      <c r="AJ128" s="35"/>
      <c r="AK128" s="2">
        <v>1</v>
      </c>
      <c r="AL128" s="3">
        <v>200</v>
      </c>
      <c r="AM128" s="26">
        <v>114</v>
      </c>
      <c r="AN128" s="28">
        <v>41.8</v>
      </c>
      <c r="AO128" s="39"/>
      <c r="AP128" s="28"/>
      <c r="AQ128" s="2">
        <v>86.6</v>
      </c>
      <c r="AR128" s="29">
        <v>2.69</v>
      </c>
      <c r="AS128" s="28">
        <v>50.2</v>
      </c>
      <c r="AT128" s="13">
        <v>1</v>
      </c>
      <c r="AU128" s="29">
        <v>20</v>
      </c>
      <c r="AV128" s="2">
        <v>4</v>
      </c>
      <c r="AW128" s="2">
        <v>4</v>
      </c>
    </row>
    <row r="129" spans="1:49" x14ac:dyDescent="0.2">
      <c r="A129" s="3">
        <v>242</v>
      </c>
      <c r="B129" t="s">
        <v>27</v>
      </c>
      <c r="C129" s="2">
        <v>39.700000000000003</v>
      </c>
      <c r="D129" s="4">
        <v>2</v>
      </c>
      <c r="E129" s="4">
        <v>2</v>
      </c>
      <c r="F129" s="5"/>
      <c r="G129" s="5">
        <v>33.1</v>
      </c>
      <c r="H129">
        <v>2</v>
      </c>
      <c r="I129" t="s">
        <v>26</v>
      </c>
      <c r="J129" s="2">
        <v>1</v>
      </c>
      <c r="K129">
        <v>1</v>
      </c>
      <c r="M129" s="2">
        <v>0.5</v>
      </c>
      <c r="N129">
        <v>1</v>
      </c>
      <c r="O129">
        <v>1</v>
      </c>
      <c r="P129">
        <v>1</v>
      </c>
      <c r="Q129">
        <v>1</v>
      </c>
      <c r="R129">
        <v>2</v>
      </c>
      <c r="S129">
        <v>1</v>
      </c>
      <c r="T129" s="3">
        <v>38</v>
      </c>
      <c r="U129" s="3">
        <v>8</v>
      </c>
      <c r="V129" s="13">
        <v>21.05</v>
      </c>
      <c r="W129" s="2">
        <v>2.2999999999999998</v>
      </c>
      <c r="X129">
        <v>2</v>
      </c>
      <c r="Y129" s="4">
        <v>2</v>
      </c>
      <c r="Z129">
        <v>1</v>
      </c>
      <c r="AA129">
        <v>2</v>
      </c>
      <c r="AB129">
        <v>1</v>
      </c>
      <c r="AC129" s="2">
        <v>1</v>
      </c>
      <c r="AD129" s="19"/>
      <c r="AE129" s="2">
        <v>2</v>
      </c>
      <c r="AF129" s="2">
        <v>3</v>
      </c>
      <c r="AH129" s="9"/>
      <c r="AI129" s="10"/>
      <c r="AJ129" s="35"/>
      <c r="AK129" s="2">
        <v>1</v>
      </c>
      <c r="AL129" s="3">
        <v>100</v>
      </c>
      <c r="AM129" s="26">
        <v>124</v>
      </c>
      <c r="AN129" s="29">
        <v>23.8</v>
      </c>
      <c r="AO129" s="38">
        <v>1</v>
      </c>
      <c r="AP129" s="28"/>
      <c r="AQ129" s="2">
        <v>181.9</v>
      </c>
      <c r="AR129" s="29">
        <v>35</v>
      </c>
      <c r="AS129" s="34">
        <v>0.1</v>
      </c>
      <c r="AT129" s="13">
        <v>1</v>
      </c>
      <c r="AU129" s="29">
        <v>20</v>
      </c>
      <c r="AV129" s="2">
        <v>1</v>
      </c>
      <c r="AW129" s="2">
        <v>1</v>
      </c>
    </row>
    <row r="130" spans="1:49" x14ac:dyDescent="0.2">
      <c r="A130" s="3">
        <v>404</v>
      </c>
      <c r="B130" t="s">
        <v>27</v>
      </c>
      <c r="C130" s="2">
        <v>52.4</v>
      </c>
      <c r="D130" s="4">
        <v>2</v>
      </c>
      <c r="E130" s="4">
        <v>2</v>
      </c>
      <c r="F130" s="5">
        <v>1</v>
      </c>
      <c r="G130" s="5">
        <v>30.8</v>
      </c>
      <c r="H130">
        <v>2</v>
      </c>
      <c r="I130" t="s">
        <v>26</v>
      </c>
      <c r="J130" s="2">
        <v>1</v>
      </c>
      <c r="K130">
        <v>1</v>
      </c>
      <c r="M130" s="2">
        <v>1.4</v>
      </c>
      <c r="N130">
        <v>1</v>
      </c>
      <c r="O130">
        <v>1</v>
      </c>
      <c r="P130">
        <v>2</v>
      </c>
      <c r="Q130">
        <v>2</v>
      </c>
      <c r="R130">
        <v>2</v>
      </c>
      <c r="S130">
        <v>1</v>
      </c>
      <c r="T130" s="3">
        <v>39</v>
      </c>
      <c r="U130" s="3">
        <v>7</v>
      </c>
      <c r="V130" s="13">
        <v>17.95</v>
      </c>
      <c r="W130" s="2">
        <v>1.9</v>
      </c>
      <c r="X130">
        <v>2</v>
      </c>
      <c r="Y130" s="4">
        <v>1</v>
      </c>
      <c r="Z130">
        <v>1</v>
      </c>
      <c r="AA130">
        <v>2</v>
      </c>
      <c r="AB130">
        <v>1</v>
      </c>
      <c r="AC130" s="2">
        <v>1</v>
      </c>
      <c r="AD130" s="6">
        <v>0</v>
      </c>
      <c r="AE130" s="2">
        <v>2</v>
      </c>
      <c r="AF130" s="2">
        <v>3</v>
      </c>
      <c r="AH130" s="5"/>
      <c r="AI130" s="10"/>
      <c r="AJ130" s="35"/>
      <c r="AK130" s="2">
        <v>1</v>
      </c>
      <c r="AL130" s="3">
        <v>100</v>
      </c>
      <c r="AM130" s="26">
        <v>126</v>
      </c>
      <c r="AN130" s="29">
        <v>60.7</v>
      </c>
      <c r="AO130" s="38">
        <v>1</v>
      </c>
      <c r="AP130" s="28">
        <v>25</v>
      </c>
      <c r="AQ130" s="2">
        <v>34.9</v>
      </c>
      <c r="AR130" s="29">
        <v>0.01</v>
      </c>
      <c r="AS130" s="28">
        <v>1.63</v>
      </c>
      <c r="AT130" s="13">
        <v>1</v>
      </c>
      <c r="AU130" s="29">
        <v>1.3</v>
      </c>
      <c r="AV130" s="2">
        <v>3</v>
      </c>
      <c r="AW130" s="2">
        <v>3</v>
      </c>
    </row>
    <row r="131" spans="1:49" x14ac:dyDescent="0.2">
      <c r="A131" s="3">
        <v>168</v>
      </c>
      <c r="B131" t="s">
        <v>25</v>
      </c>
      <c r="C131" s="2">
        <v>36.200000000000003</v>
      </c>
      <c r="D131" s="4">
        <v>2</v>
      </c>
      <c r="E131" s="4">
        <v>1</v>
      </c>
      <c r="F131" s="5"/>
      <c r="G131" s="5">
        <v>22.8</v>
      </c>
      <c r="H131">
        <v>2</v>
      </c>
      <c r="I131" t="s">
        <v>26</v>
      </c>
      <c r="J131" s="2">
        <v>1</v>
      </c>
      <c r="K131">
        <v>1</v>
      </c>
      <c r="M131" s="2">
        <v>2</v>
      </c>
      <c r="N131">
        <v>2</v>
      </c>
      <c r="O131">
        <v>1</v>
      </c>
      <c r="P131">
        <v>1</v>
      </c>
      <c r="Q131">
        <v>2</v>
      </c>
      <c r="R131">
        <v>2</v>
      </c>
      <c r="S131">
        <v>1</v>
      </c>
      <c r="T131" s="3">
        <v>1</v>
      </c>
      <c r="U131" s="3">
        <v>1</v>
      </c>
      <c r="V131" s="13">
        <v>100</v>
      </c>
      <c r="W131" s="2">
        <v>2</v>
      </c>
      <c r="X131">
        <v>2</v>
      </c>
      <c r="Y131" s="4">
        <v>2</v>
      </c>
      <c r="Z131">
        <v>2</v>
      </c>
      <c r="AA131">
        <v>2</v>
      </c>
      <c r="AB131">
        <v>1</v>
      </c>
      <c r="AC131" s="2">
        <v>1</v>
      </c>
      <c r="AD131" s="19"/>
      <c r="AE131" s="2">
        <v>2</v>
      </c>
      <c r="AF131" s="2">
        <v>3</v>
      </c>
      <c r="AH131" s="9"/>
      <c r="AI131" s="10"/>
      <c r="AJ131" s="35"/>
      <c r="AK131" s="2">
        <v>1</v>
      </c>
      <c r="AL131" s="3">
        <v>150</v>
      </c>
      <c r="AM131" s="26">
        <v>147</v>
      </c>
      <c r="AN131" s="29">
        <v>2.79</v>
      </c>
      <c r="AO131" s="38">
        <v>1</v>
      </c>
      <c r="AP131" s="34">
        <v>10</v>
      </c>
      <c r="AQ131" s="2">
        <v>126.6</v>
      </c>
      <c r="AR131" s="29">
        <v>1.53</v>
      </c>
      <c r="AS131" s="28">
        <v>0.1</v>
      </c>
      <c r="AT131" s="13">
        <v>1</v>
      </c>
      <c r="AU131" s="29">
        <v>20</v>
      </c>
      <c r="AV131" s="2">
        <v>1</v>
      </c>
      <c r="AW131" s="2">
        <v>1</v>
      </c>
    </row>
    <row r="132" spans="1:49" x14ac:dyDescent="0.2">
      <c r="A132" s="3">
        <v>482</v>
      </c>
      <c r="B132" t="s">
        <v>27</v>
      </c>
      <c r="C132" s="2">
        <v>30</v>
      </c>
      <c r="D132" s="4">
        <v>2</v>
      </c>
      <c r="E132" s="4">
        <v>2</v>
      </c>
      <c r="F132" s="5">
        <v>1</v>
      </c>
      <c r="G132" s="5"/>
      <c r="H132">
        <v>1</v>
      </c>
      <c r="I132" t="s">
        <v>28</v>
      </c>
      <c r="J132" s="2">
        <v>1</v>
      </c>
      <c r="K132">
        <v>1</v>
      </c>
      <c r="M132" s="2">
        <v>2</v>
      </c>
      <c r="N132">
        <v>3</v>
      </c>
      <c r="O132">
        <v>2</v>
      </c>
      <c r="P132">
        <v>2</v>
      </c>
      <c r="S132">
        <v>1</v>
      </c>
      <c r="T132" s="3">
        <v>15</v>
      </c>
      <c r="U132" s="3">
        <v>11</v>
      </c>
      <c r="V132" s="13">
        <v>73.33</v>
      </c>
      <c r="W132" s="2">
        <v>1.5</v>
      </c>
      <c r="Y132" s="4">
        <v>2</v>
      </c>
      <c r="Z132">
        <v>3</v>
      </c>
      <c r="AA132">
        <v>2</v>
      </c>
      <c r="AB132">
        <v>1</v>
      </c>
      <c r="AC132" s="2">
        <v>1</v>
      </c>
      <c r="AD132" s="19"/>
      <c r="AE132" s="2">
        <v>3</v>
      </c>
      <c r="AF132" s="2">
        <v>4</v>
      </c>
      <c r="AH132" s="5"/>
      <c r="AI132" s="10"/>
      <c r="AJ132" s="35"/>
      <c r="AK132" s="2">
        <v>1</v>
      </c>
      <c r="AL132" s="3">
        <v>200</v>
      </c>
      <c r="AM132" s="26">
        <v>150</v>
      </c>
      <c r="AN132" s="29">
        <v>42</v>
      </c>
      <c r="AO132" s="38">
        <v>1</v>
      </c>
      <c r="AP132" s="34">
        <v>10</v>
      </c>
      <c r="AQ132" s="2">
        <v>168.6</v>
      </c>
      <c r="AR132" s="29">
        <v>0.72</v>
      </c>
      <c r="AS132" s="28">
        <v>0.1</v>
      </c>
      <c r="AT132" s="13">
        <v>1</v>
      </c>
      <c r="AU132" s="29">
        <v>20</v>
      </c>
      <c r="AV132" s="2">
        <v>1</v>
      </c>
      <c r="AW132" s="2">
        <v>1</v>
      </c>
    </row>
    <row r="133" spans="1:49" x14ac:dyDescent="0.2">
      <c r="A133" s="3">
        <v>1</v>
      </c>
      <c r="B133" t="s">
        <v>25</v>
      </c>
      <c r="C133" s="2">
        <v>38.4</v>
      </c>
      <c r="D133" s="4">
        <v>2</v>
      </c>
      <c r="E133" s="4">
        <v>1</v>
      </c>
      <c r="F133" s="5">
        <v>2</v>
      </c>
      <c r="G133" s="5">
        <v>28.2</v>
      </c>
      <c r="H133">
        <v>1</v>
      </c>
      <c r="I133" t="s">
        <v>26</v>
      </c>
      <c r="J133" s="2">
        <v>1</v>
      </c>
      <c r="M133" s="2">
        <v>2.7</v>
      </c>
      <c r="N133">
        <v>2</v>
      </c>
      <c r="O133">
        <v>2</v>
      </c>
      <c r="P133">
        <v>2</v>
      </c>
      <c r="S133">
        <v>1</v>
      </c>
      <c r="T133" s="3">
        <v>6</v>
      </c>
      <c r="U133" s="3">
        <v>1</v>
      </c>
      <c r="V133" s="13">
        <v>16.670000000000002</v>
      </c>
      <c r="W133" s="1"/>
      <c r="Y133" s="4">
        <v>1</v>
      </c>
      <c r="Z133">
        <v>2</v>
      </c>
      <c r="AA133">
        <v>2</v>
      </c>
      <c r="AB133">
        <v>1</v>
      </c>
      <c r="AC133" s="2">
        <v>1</v>
      </c>
      <c r="AD133" s="19"/>
      <c r="AE133" s="2">
        <v>2</v>
      </c>
      <c r="AF133" s="2">
        <v>3</v>
      </c>
      <c r="AH133" s="9"/>
      <c r="AI133" s="10"/>
      <c r="AJ133" s="35"/>
      <c r="AK133" s="2">
        <v>1</v>
      </c>
      <c r="AL133" s="3">
        <v>100</v>
      </c>
      <c r="AM133" s="26">
        <v>194</v>
      </c>
      <c r="AN133" s="28"/>
      <c r="AO133" s="38">
        <v>2</v>
      </c>
      <c r="AP133" s="28">
        <v>442</v>
      </c>
      <c r="AQ133" s="2">
        <v>175.4</v>
      </c>
      <c r="AR133" s="29">
        <v>9.08</v>
      </c>
      <c r="AS133" s="28">
        <v>0.1</v>
      </c>
      <c r="AT133" s="13">
        <v>1</v>
      </c>
      <c r="AU133" s="29">
        <v>20</v>
      </c>
      <c r="AV133" s="2">
        <v>1</v>
      </c>
      <c r="AW133" s="2">
        <v>1</v>
      </c>
    </row>
    <row r="134" spans="1:49" x14ac:dyDescent="0.2">
      <c r="A134" s="3">
        <v>48</v>
      </c>
      <c r="B134" t="s">
        <v>25</v>
      </c>
      <c r="C134" s="2">
        <v>48.8</v>
      </c>
      <c r="D134" s="4">
        <v>2</v>
      </c>
      <c r="E134" s="4">
        <v>2</v>
      </c>
      <c r="F134" s="5">
        <v>1</v>
      </c>
      <c r="G134" s="5">
        <v>27.4</v>
      </c>
      <c r="H134">
        <v>2</v>
      </c>
      <c r="I134" t="s">
        <v>26</v>
      </c>
      <c r="J134" s="2">
        <v>1</v>
      </c>
      <c r="K134">
        <v>3</v>
      </c>
      <c r="M134" s="2">
        <v>1.8</v>
      </c>
      <c r="N134">
        <v>2</v>
      </c>
      <c r="O134">
        <v>1</v>
      </c>
      <c r="P134">
        <v>2</v>
      </c>
      <c r="Q134">
        <v>1</v>
      </c>
      <c r="R134">
        <v>2</v>
      </c>
      <c r="S134">
        <v>1</v>
      </c>
      <c r="T134" s="3">
        <v>28</v>
      </c>
      <c r="U134" s="3">
        <v>18</v>
      </c>
      <c r="V134" s="13">
        <v>64.290000000000006</v>
      </c>
      <c r="W134" s="2">
        <v>1.7</v>
      </c>
      <c r="X134">
        <v>2</v>
      </c>
      <c r="Y134" s="4">
        <v>2</v>
      </c>
      <c r="Z134">
        <v>1</v>
      </c>
      <c r="AA134">
        <v>2</v>
      </c>
      <c r="AB134">
        <v>1</v>
      </c>
      <c r="AC134" s="2">
        <v>1</v>
      </c>
      <c r="AD134" s="19"/>
      <c r="AE134" s="2">
        <v>2</v>
      </c>
      <c r="AF134" s="2">
        <v>3</v>
      </c>
      <c r="AH134" s="5"/>
      <c r="AI134" s="10"/>
      <c r="AJ134" s="35"/>
      <c r="AK134" s="2">
        <v>1</v>
      </c>
      <c r="AL134" s="3">
        <v>100</v>
      </c>
      <c r="AM134" s="26">
        <v>237.5</v>
      </c>
      <c r="AN134" s="29">
        <v>8.35</v>
      </c>
      <c r="AO134" s="38">
        <v>1</v>
      </c>
      <c r="AP134" s="34">
        <v>5</v>
      </c>
      <c r="AQ134" s="2">
        <v>53.9</v>
      </c>
      <c r="AR134" s="29">
        <v>0.18</v>
      </c>
      <c r="AS134" s="28">
        <v>0.6</v>
      </c>
      <c r="AT134" s="13">
        <v>1</v>
      </c>
      <c r="AU134" s="29">
        <v>13</v>
      </c>
      <c r="AV134" s="2">
        <v>4</v>
      </c>
      <c r="AW134" s="2">
        <v>4</v>
      </c>
    </row>
    <row r="135" spans="1:49" x14ac:dyDescent="0.2">
      <c r="A135" s="3">
        <v>491</v>
      </c>
      <c r="B135" t="s">
        <v>25</v>
      </c>
      <c r="C135" s="2">
        <v>66.400000000000006</v>
      </c>
      <c r="D135" s="4">
        <v>2</v>
      </c>
      <c r="E135" s="4">
        <v>2</v>
      </c>
      <c r="F135" s="5">
        <v>1</v>
      </c>
      <c r="G135" s="5">
        <v>27.2</v>
      </c>
      <c r="H135">
        <v>1</v>
      </c>
      <c r="I135" t="s">
        <v>26</v>
      </c>
      <c r="J135" s="2">
        <v>1</v>
      </c>
      <c r="K135">
        <v>1</v>
      </c>
      <c r="M135" s="2">
        <v>2.8</v>
      </c>
      <c r="N135">
        <v>1</v>
      </c>
      <c r="O135">
        <v>1</v>
      </c>
      <c r="P135">
        <v>1</v>
      </c>
      <c r="Q135">
        <v>1</v>
      </c>
      <c r="S135">
        <v>1</v>
      </c>
      <c r="T135" s="3">
        <v>12</v>
      </c>
      <c r="U135" s="3">
        <v>1</v>
      </c>
      <c r="V135" s="15">
        <v>8.33</v>
      </c>
      <c r="W135" s="2">
        <v>1.5</v>
      </c>
      <c r="X135">
        <v>2</v>
      </c>
      <c r="Y135" s="4">
        <v>1</v>
      </c>
      <c r="Z135">
        <v>2</v>
      </c>
      <c r="AA135">
        <v>2</v>
      </c>
      <c r="AB135">
        <v>1</v>
      </c>
      <c r="AC135" s="2">
        <v>2</v>
      </c>
      <c r="AD135" s="19"/>
      <c r="AE135" s="2">
        <v>2</v>
      </c>
      <c r="AF135" s="2">
        <v>3</v>
      </c>
      <c r="AH135" s="9"/>
      <c r="AI135" s="10"/>
      <c r="AJ135" s="35"/>
      <c r="AK135" s="2">
        <v>1</v>
      </c>
      <c r="AL135" s="3">
        <v>30</v>
      </c>
      <c r="AM135" s="26">
        <v>250</v>
      </c>
      <c r="AN135" s="29">
        <v>1.9</v>
      </c>
      <c r="AO135" s="38">
        <v>1</v>
      </c>
      <c r="AP135" s="28">
        <v>21</v>
      </c>
      <c r="AQ135" s="2">
        <v>28.6</v>
      </c>
      <c r="AR135" s="29">
        <v>0.16</v>
      </c>
      <c r="AS135" s="34">
        <f>0.1/2</f>
        <v>0.05</v>
      </c>
      <c r="AT135" s="13">
        <v>1</v>
      </c>
      <c r="AU135" s="29">
        <v>17</v>
      </c>
      <c r="AV135" s="2">
        <v>1</v>
      </c>
      <c r="AW135" s="2">
        <v>1</v>
      </c>
    </row>
    <row r="136" spans="1:49" x14ac:dyDescent="0.2">
      <c r="A136" s="3">
        <v>11</v>
      </c>
      <c r="B136" t="s">
        <v>25</v>
      </c>
      <c r="C136" s="2">
        <v>52.8</v>
      </c>
      <c r="D136" s="6">
        <v>2</v>
      </c>
      <c r="E136" s="6">
        <v>2</v>
      </c>
      <c r="F136" s="7">
        <v>1</v>
      </c>
      <c r="G136" s="7"/>
      <c r="H136">
        <v>1</v>
      </c>
      <c r="I136" t="s">
        <v>26</v>
      </c>
      <c r="J136" s="2">
        <v>1</v>
      </c>
      <c r="K136" t="s">
        <v>53</v>
      </c>
      <c r="M136" s="2">
        <v>3</v>
      </c>
      <c r="N136">
        <v>1</v>
      </c>
      <c r="O136">
        <v>2</v>
      </c>
      <c r="P136">
        <v>2</v>
      </c>
      <c r="Q136">
        <v>2</v>
      </c>
      <c r="R136">
        <v>2</v>
      </c>
      <c r="T136" s="1"/>
      <c r="U136" s="1"/>
      <c r="V136" s="14"/>
      <c r="W136" s="1"/>
      <c r="Y136" s="6"/>
      <c r="Z136">
        <v>2</v>
      </c>
      <c r="AA136">
        <v>3</v>
      </c>
      <c r="AB136">
        <v>1</v>
      </c>
      <c r="AC136" s="2">
        <v>1</v>
      </c>
      <c r="AD136" s="19" t="s">
        <v>53</v>
      </c>
      <c r="AE136" s="2">
        <v>1</v>
      </c>
      <c r="AF136" s="2">
        <v>1</v>
      </c>
      <c r="AG136" s="14"/>
      <c r="AH136" s="17">
        <v>90</v>
      </c>
      <c r="AI136" s="6">
        <v>2</v>
      </c>
      <c r="AJ136" s="17">
        <v>1600</v>
      </c>
      <c r="AK136" s="2">
        <v>1</v>
      </c>
      <c r="AL136" s="3">
        <v>100</v>
      </c>
      <c r="AM136" s="26">
        <v>12.8</v>
      </c>
      <c r="AN136" s="31">
        <v>19.5</v>
      </c>
      <c r="AO136" s="40">
        <v>1</v>
      </c>
      <c r="AP136" s="31"/>
      <c r="AQ136" s="2">
        <v>300</v>
      </c>
      <c r="AR136" s="32">
        <v>1.1599999999999999</v>
      </c>
      <c r="AS136" s="31">
        <v>0.1</v>
      </c>
      <c r="AT136" s="14">
        <v>1</v>
      </c>
      <c r="AU136" s="29">
        <v>20</v>
      </c>
      <c r="AV136" s="2">
        <v>1</v>
      </c>
      <c r="AW136" s="2">
        <v>1</v>
      </c>
    </row>
    <row r="137" spans="1:49" x14ac:dyDescent="0.2">
      <c r="A137" s="3">
        <v>362</v>
      </c>
      <c r="B137" t="s">
        <v>27</v>
      </c>
      <c r="C137" s="2">
        <v>72.8</v>
      </c>
      <c r="D137" s="4">
        <v>2</v>
      </c>
      <c r="E137" s="4">
        <v>2</v>
      </c>
      <c r="F137" s="5">
        <v>1</v>
      </c>
      <c r="G137" s="5">
        <v>28.1</v>
      </c>
      <c r="H137">
        <v>1</v>
      </c>
      <c r="I137" t="s">
        <v>26</v>
      </c>
      <c r="J137" s="2">
        <v>1</v>
      </c>
      <c r="K137">
        <v>3</v>
      </c>
      <c r="M137" s="2">
        <v>1.3</v>
      </c>
      <c r="N137">
        <v>1</v>
      </c>
      <c r="O137">
        <v>1</v>
      </c>
      <c r="P137">
        <v>2</v>
      </c>
      <c r="Q137">
        <v>1</v>
      </c>
      <c r="R137">
        <v>2</v>
      </c>
      <c r="S137">
        <v>2</v>
      </c>
      <c r="T137" s="1"/>
      <c r="U137" s="1"/>
      <c r="V137" s="13"/>
      <c r="W137" s="1"/>
      <c r="Y137" s="4">
        <v>2</v>
      </c>
      <c r="Z137">
        <v>1</v>
      </c>
      <c r="AA137">
        <v>0</v>
      </c>
      <c r="AB137">
        <v>2</v>
      </c>
      <c r="AC137" s="2">
        <v>4</v>
      </c>
      <c r="AD137" s="19"/>
      <c r="AE137" s="2">
        <v>3</v>
      </c>
      <c r="AF137" s="2">
        <v>4</v>
      </c>
      <c r="AG137" s="13">
        <v>0.5</v>
      </c>
      <c r="AH137" s="25">
        <v>3801</v>
      </c>
      <c r="AI137" s="4">
        <v>1</v>
      </c>
      <c r="AJ137" s="25">
        <v>115</v>
      </c>
      <c r="AK137" s="2">
        <v>1</v>
      </c>
      <c r="AL137" s="3">
        <v>150</v>
      </c>
      <c r="AM137" s="26">
        <v>33.5</v>
      </c>
      <c r="AN137" s="28">
        <v>5000</v>
      </c>
      <c r="AO137" s="38">
        <v>1</v>
      </c>
      <c r="AP137" s="34">
        <v>10</v>
      </c>
      <c r="AQ137" s="2">
        <v>66.5</v>
      </c>
      <c r="AR137" s="29">
        <v>52</v>
      </c>
      <c r="AS137" s="28">
        <v>9.4700000000000006</v>
      </c>
      <c r="AT137" s="13">
        <v>1</v>
      </c>
      <c r="AU137" s="29">
        <v>0.9</v>
      </c>
      <c r="AV137" s="2">
        <v>4</v>
      </c>
      <c r="AW137" s="2">
        <v>4</v>
      </c>
    </row>
    <row r="138" spans="1:49" x14ac:dyDescent="0.2">
      <c r="A138" s="3">
        <v>116</v>
      </c>
      <c r="B138" t="s">
        <v>25</v>
      </c>
      <c r="C138" s="2">
        <v>47.8</v>
      </c>
      <c r="D138" s="4">
        <v>2</v>
      </c>
      <c r="E138" s="4">
        <v>2</v>
      </c>
      <c r="F138" s="5">
        <v>1</v>
      </c>
      <c r="G138" s="5">
        <v>31.9</v>
      </c>
      <c r="H138">
        <v>2</v>
      </c>
      <c r="I138" t="s">
        <v>26</v>
      </c>
      <c r="J138" s="2">
        <v>1</v>
      </c>
      <c r="K138">
        <v>1</v>
      </c>
      <c r="M138" s="2">
        <v>0.7</v>
      </c>
      <c r="N138">
        <v>2</v>
      </c>
      <c r="O138">
        <v>1</v>
      </c>
      <c r="P138">
        <v>1</v>
      </c>
      <c r="Q138">
        <v>2</v>
      </c>
      <c r="R138">
        <v>2</v>
      </c>
      <c r="S138">
        <v>1</v>
      </c>
      <c r="T138" s="3">
        <v>46</v>
      </c>
      <c r="U138" s="3">
        <v>6</v>
      </c>
      <c r="V138" s="13">
        <v>13.04</v>
      </c>
      <c r="W138" s="2">
        <v>2.2000000000000002</v>
      </c>
      <c r="X138">
        <v>2</v>
      </c>
      <c r="Y138" s="4">
        <v>2</v>
      </c>
      <c r="Z138">
        <v>1</v>
      </c>
      <c r="AA138">
        <v>2</v>
      </c>
      <c r="AB138">
        <v>1</v>
      </c>
      <c r="AC138" s="2">
        <v>1</v>
      </c>
      <c r="AD138" s="19"/>
      <c r="AE138" s="2">
        <v>2</v>
      </c>
      <c r="AF138" s="2">
        <v>3</v>
      </c>
      <c r="AH138" s="9"/>
      <c r="AI138" s="10"/>
      <c r="AJ138" s="35"/>
      <c r="AK138" s="2">
        <v>1</v>
      </c>
      <c r="AL138" s="3">
        <v>100</v>
      </c>
      <c r="AM138" s="26">
        <v>150</v>
      </c>
      <c r="AN138" s="29">
        <v>0.27</v>
      </c>
      <c r="AO138" s="38">
        <v>1</v>
      </c>
      <c r="AP138" s="34">
        <v>10</v>
      </c>
      <c r="AQ138" s="2">
        <v>140.5</v>
      </c>
      <c r="AR138" s="29">
        <v>1.21</v>
      </c>
      <c r="AS138" s="34">
        <f>0.1/2</f>
        <v>0.05</v>
      </c>
      <c r="AT138" s="13">
        <v>1</v>
      </c>
      <c r="AU138" s="29">
        <v>1.6</v>
      </c>
      <c r="AV138" s="2">
        <v>1</v>
      </c>
      <c r="AW138" s="2">
        <v>1</v>
      </c>
    </row>
    <row r="139" spans="1:49" x14ac:dyDescent="0.2">
      <c r="A139" s="3">
        <v>305</v>
      </c>
      <c r="B139" t="s">
        <v>25</v>
      </c>
      <c r="C139" s="2">
        <v>54.1</v>
      </c>
      <c r="D139" s="4">
        <v>2</v>
      </c>
      <c r="E139" s="4">
        <v>1</v>
      </c>
      <c r="F139" s="5">
        <v>1</v>
      </c>
      <c r="G139" s="5">
        <v>25.2</v>
      </c>
      <c r="H139">
        <v>2</v>
      </c>
      <c r="I139" t="s">
        <v>26</v>
      </c>
      <c r="J139" s="2">
        <v>1</v>
      </c>
      <c r="K139">
        <v>3</v>
      </c>
      <c r="M139" s="2">
        <v>1.9</v>
      </c>
      <c r="N139">
        <v>2</v>
      </c>
      <c r="O139">
        <v>1</v>
      </c>
      <c r="P139">
        <v>1</v>
      </c>
      <c r="Q139">
        <v>2</v>
      </c>
      <c r="R139">
        <v>2</v>
      </c>
      <c r="S139">
        <v>1</v>
      </c>
      <c r="T139" s="3">
        <v>31</v>
      </c>
      <c r="U139" s="3">
        <v>7</v>
      </c>
      <c r="V139" s="13">
        <v>22.58</v>
      </c>
      <c r="W139" s="2">
        <v>4.3</v>
      </c>
      <c r="X139">
        <v>2</v>
      </c>
      <c r="Y139" s="4">
        <v>1</v>
      </c>
      <c r="Z139">
        <v>2</v>
      </c>
      <c r="AA139">
        <v>2</v>
      </c>
      <c r="AB139">
        <v>1</v>
      </c>
      <c r="AC139" s="2">
        <v>2</v>
      </c>
      <c r="AD139" s="19"/>
      <c r="AE139" s="2">
        <v>3</v>
      </c>
      <c r="AF139" s="2">
        <v>4</v>
      </c>
      <c r="AH139" s="9"/>
      <c r="AI139" s="10"/>
      <c r="AJ139" s="35"/>
      <c r="AK139" s="2">
        <v>1</v>
      </c>
      <c r="AL139" s="3">
        <v>150</v>
      </c>
      <c r="AM139" s="26">
        <v>150</v>
      </c>
      <c r="AN139" s="29">
        <v>5.79</v>
      </c>
      <c r="AO139" s="38">
        <v>1</v>
      </c>
      <c r="AP139" s="34">
        <v>10</v>
      </c>
      <c r="AQ139" s="2">
        <v>141.19999999999999</v>
      </c>
      <c r="AR139" s="29">
        <v>0.7</v>
      </c>
      <c r="AS139" s="28">
        <v>0.1</v>
      </c>
      <c r="AT139" s="13">
        <v>1</v>
      </c>
      <c r="AU139" s="29">
        <v>1.3</v>
      </c>
      <c r="AV139" s="2">
        <v>1</v>
      </c>
      <c r="AW139" s="2">
        <v>1</v>
      </c>
    </row>
    <row r="140" spans="1:49" x14ac:dyDescent="0.2">
      <c r="A140" s="3">
        <v>87</v>
      </c>
      <c r="B140" t="s">
        <v>27</v>
      </c>
      <c r="C140" s="2">
        <v>42.8</v>
      </c>
      <c r="D140" s="4">
        <v>2</v>
      </c>
      <c r="E140" s="4">
        <v>2</v>
      </c>
      <c r="F140" s="5">
        <v>1</v>
      </c>
      <c r="G140" s="5">
        <v>28</v>
      </c>
      <c r="H140">
        <v>2</v>
      </c>
      <c r="I140" t="s">
        <v>28</v>
      </c>
      <c r="J140" s="2">
        <v>1</v>
      </c>
      <c r="K140">
        <v>1</v>
      </c>
      <c r="M140" s="2">
        <v>1.3</v>
      </c>
      <c r="N140">
        <v>1</v>
      </c>
      <c r="O140">
        <v>1</v>
      </c>
      <c r="P140">
        <v>1</v>
      </c>
      <c r="Q140">
        <v>2</v>
      </c>
      <c r="R140">
        <v>2</v>
      </c>
      <c r="S140">
        <v>1</v>
      </c>
      <c r="T140" s="3">
        <v>83</v>
      </c>
      <c r="U140" s="3">
        <v>16</v>
      </c>
      <c r="V140" s="13">
        <v>19.28</v>
      </c>
      <c r="W140" s="2">
        <v>3.5</v>
      </c>
      <c r="X140">
        <v>2</v>
      </c>
      <c r="Y140" s="4">
        <v>2</v>
      </c>
      <c r="Z140">
        <v>1</v>
      </c>
      <c r="AA140">
        <v>2</v>
      </c>
      <c r="AB140">
        <v>1</v>
      </c>
      <c r="AC140" s="2">
        <v>1</v>
      </c>
      <c r="AD140" s="19"/>
      <c r="AE140" s="2">
        <v>3</v>
      </c>
      <c r="AF140" s="2">
        <v>4</v>
      </c>
      <c r="AH140" s="9"/>
      <c r="AI140" s="10"/>
      <c r="AJ140" s="35"/>
      <c r="AK140" s="2">
        <v>1</v>
      </c>
      <c r="AL140" s="3">
        <v>150</v>
      </c>
      <c r="AM140" s="27">
        <v>150</v>
      </c>
      <c r="AN140" s="29">
        <v>10.98</v>
      </c>
      <c r="AO140" s="38">
        <v>1</v>
      </c>
      <c r="AP140" s="34">
        <v>10</v>
      </c>
      <c r="AQ140" s="2">
        <v>141.30000000000001</v>
      </c>
      <c r="AR140" s="29">
        <v>0.01</v>
      </c>
      <c r="AS140" s="34">
        <v>0.05</v>
      </c>
      <c r="AT140" s="13">
        <v>1</v>
      </c>
      <c r="AU140" s="29">
        <v>20</v>
      </c>
      <c r="AV140" s="2">
        <v>1</v>
      </c>
      <c r="AW140" s="2">
        <v>1</v>
      </c>
    </row>
    <row r="141" spans="1:49" x14ac:dyDescent="0.2">
      <c r="A141" s="3">
        <v>376</v>
      </c>
      <c r="B141" t="s">
        <v>25</v>
      </c>
      <c r="C141" s="2">
        <v>23.8</v>
      </c>
      <c r="D141" s="4">
        <v>2</v>
      </c>
      <c r="E141" s="4">
        <v>2</v>
      </c>
      <c r="F141" s="5">
        <v>1</v>
      </c>
      <c r="G141" s="5">
        <v>24.1</v>
      </c>
      <c r="H141">
        <v>2</v>
      </c>
      <c r="I141" t="s">
        <v>26</v>
      </c>
      <c r="J141" s="2">
        <v>1</v>
      </c>
      <c r="K141">
        <v>1</v>
      </c>
      <c r="M141" s="2">
        <v>2.5</v>
      </c>
      <c r="N141">
        <v>1</v>
      </c>
      <c r="O141">
        <v>1</v>
      </c>
      <c r="P141">
        <v>2</v>
      </c>
      <c r="Q141">
        <v>2</v>
      </c>
      <c r="R141">
        <v>2</v>
      </c>
      <c r="S141">
        <v>1</v>
      </c>
      <c r="T141" s="3">
        <v>18</v>
      </c>
      <c r="U141" s="3">
        <v>15</v>
      </c>
      <c r="V141" s="13">
        <v>83.33</v>
      </c>
      <c r="W141" s="2">
        <v>2.1</v>
      </c>
      <c r="X141">
        <v>2</v>
      </c>
      <c r="Y141" s="4">
        <v>1</v>
      </c>
      <c r="Z141">
        <v>2</v>
      </c>
      <c r="AA141">
        <v>2</v>
      </c>
      <c r="AB141">
        <v>1</v>
      </c>
      <c r="AC141" s="2">
        <v>1</v>
      </c>
      <c r="AD141" s="6">
        <v>0</v>
      </c>
      <c r="AE141" s="2">
        <v>2</v>
      </c>
      <c r="AF141" s="2">
        <v>3</v>
      </c>
      <c r="AH141" s="9"/>
      <c r="AI141" s="10"/>
      <c r="AJ141" s="35"/>
      <c r="AK141" s="2">
        <v>1</v>
      </c>
      <c r="AL141" s="3">
        <v>100</v>
      </c>
      <c r="AM141" s="27">
        <v>150</v>
      </c>
      <c r="AN141" s="29">
        <v>17.5</v>
      </c>
      <c r="AO141" s="38">
        <v>1</v>
      </c>
      <c r="AP141" s="34">
        <v>10</v>
      </c>
      <c r="AQ141" s="2">
        <v>16.5</v>
      </c>
      <c r="AR141" s="29">
        <v>0.08</v>
      </c>
      <c r="AS141" s="28">
        <v>1.05</v>
      </c>
      <c r="AT141" s="13">
        <v>1</v>
      </c>
      <c r="AU141" s="29">
        <v>1.3</v>
      </c>
      <c r="AV141" s="2">
        <v>2</v>
      </c>
      <c r="AW141" s="2">
        <v>2</v>
      </c>
    </row>
    <row r="142" spans="1:49" x14ac:dyDescent="0.2">
      <c r="A142" s="3">
        <v>388</v>
      </c>
      <c r="B142" t="s">
        <v>25</v>
      </c>
      <c r="C142" s="2">
        <v>50.7</v>
      </c>
      <c r="D142" s="4">
        <v>2</v>
      </c>
      <c r="E142" s="4">
        <v>2</v>
      </c>
      <c r="F142" s="5">
        <v>2</v>
      </c>
      <c r="G142" s="5">
        <v>22.2</v>
      </c>
      <c r="H142">
        <v>1</v>
      </c>
      <c r="I142" t="s">
        <v>26</v>
      </c>
      <c r="J142" s="2">
        <v>1</v>
      </c>
      <c r="K142">
        <v>1</v>
      </c>
      <c r="M142" s="2">
        <v>0.6</v>
      </c>
      <c r="N142">
        <v>1</v>
      </c>
      <c r="O142">
        <v>2</v>
      </c>
      <c r="P142">
        <v>2</v>
      </c>
      <c r="Q142">
        <v>2</v>
      </c>
      <c r="R142">
        <v>2</v>
      </c>
      <c r="S142">
        <v>2</v>
      </c>
      <c r="T142" s="1"/>
      <c r="U142" s="1"/>
      <c r="V142" s="13"/>
      <c r="W142" s="1"/>
      <c r="Y142" s="4">
        <v>1</v>
      </c>
      <c r="Z142">
        <v>1</v>
      </c>
      <c r="AA142">
        <v>0</v>
      </c>
      <c r="AB142">
        <v>1</v>
      </c>
      <c r="AC142" s="2">
        <v>1</v>
      </c>
      <c r="AD142" s="19"/>
      <c r="AE142" s="2">
        <v>1</v>
      </c>
      <c r="AF142" s="2">
        <v>1</v>
      </c>
      <c r="AG142" s="13">
        <v>0.38</v>
      </c>
      <c r="AH142" s="5"/>
      <c r="AI142" s="4">
        <v>2</v>
      </c>
      <c r="AJ142" s="15">
        <v>170</v>
      </c>
      <c r="AK142" s="2">
        <v>0</v>
      </c>
      <c r="AL142" s="3">
        <v>150</v>
      </c>
      <c r="AM142" s="26"/>
      <c r="AN142" s="29"/>
      <c r="AO142" s="39"/>
      <c r="AP142" s="28"/>
      <c r="AQ142" s="2">
        <v>76.7</v>
      </c>
      <c r="AR142" s="29">
        <v>0.62</v>
      </c>
      <c r="AS142" s="28"/>
      <c r="AT142" s="13">
        <v>2</v>
      </c>
      <c r="AU142" s="29">
        <v>282.2</v>
      </c>
      <c r="AV142" s="2">
        <v>2</v>
      </c>
      <c r="AW142" s="2">
        <v>2</v>
      </c>
    </row>
    <row r="143" spans="1:49" x14ac:dyDescent="0.2">
      <c r="A143" s="3">
        <v>282</v>
      </c>
      <c r="B143" t="s">
        <v>25</v>
      </c>
      <c r="C143" s="2">
        <v>53.5</v>
      </c>
      <c r="D143" s="4">
        <v>2</v>
      </c>
      <c r="E143" s="4">
        <v>2</v>
      </c>
      <c r="F143" s="5"/>
      <c r="G143" s="5">
        <v>25.7</v>
      </c>
      <c r="H143">
        <v>2</v>
      </c>
      <c r="I143" t="s">
        <v>28</v>
      </c>
      <c r="J143" s="2">
        <v>1</v>
      </c>
      <c r="K143">
        <v>3</v>
      </c>
      <c r="M143" s="2">
        <v>2</v>
      </c>
      <c r="N143">
        <v>2</v>
      </c>
      <c r="O143">
        <v>1</v>
      </c>
      <c r="P143">
        <v>1</v>
      </c>
      <c r="Q143">
        <v>2</v>
      </c>
      <c r="R143">
        <v>2</v>
      </c>
      <c r="S143">
        <v>1</v>
      </c>
      <c r="T143" s="3">
        <v>33</v>
      </c>
      <c r="U143" s="3">
        <v>12</v>
      </c>
      <c r="V143" s="13">
        <v>36.36</v>
      </c>
      <c r="W143" s="2">
        <v>2.5</v>
      </c>
      <c r="Y143" s="4">
        <v>2</v>
      </c>
      <c r="Z143">
        <v>2</v>
      </c>
      <c r="AA143">
        <v>2</v>
      </c>
      <c r="AB143">
        <v>1</v>
      </c>
      <c r="AC143" s="2">
        <v>1</v>
      </c>
      <c r="AD143" s="19"/>
      <c r="AE143" s="2">
        <v>2</v>
      </c>
      <c r="AF143" s="2">
        <v>3</v>
      </c>
      <c r="AH143" s="9"/>
      <c r="AI143" s="10"/>
      <c r="AJ143" s="35"/>
      <c r="AK143" s="2">
        <v>1</v>
      </c>
      <c r="AL143" s="3">
        <v>200</v>
      </c>
      <c r="AM143" s="26">
        <v>150</v>
      </c>
      <c r="AN143" s="29">
        <v>18.600000000000001</v>
      </c>
      <c r="AO143" s="38">
        <v>1</v>
      </c>
      <c r="AP143" s="34">
        <v>10</v>
      </c>
      <c r="AQ143" s="2">
        <v>117</v>
      </c>
      <c r="AR143" s="29">
        <v>1.21</v>
      </c>
      <c r="AS143" s="28">
        <v>0.93</v>
      </c>
      <c r="AT143" s="13">
        <v>1</v>
      </c>
      <c r="AU143" s="29">
        <v>1.3</v>
      </c>
      <c r="AV143" s="2">
        <v>4</v>
      </c>
      <c r="AW143" s="2">
        <v>4</v>
      </c>
    </row>
    <row r="144" spans="1:49" x14ac:dyDescent="0.2">
      <c r="A144" s="3">
        <v>176</v>
      </c>
      <c r="B144" t="s">
        <v>25</v>
      </c>
      <c r="C144" s="2">
        <v>61.4</v>
      </c>
      <c r="D144" s="4">
        <v>2</v>
      </c>
      <c r="E144" s="4">
        <v>2</v>
      </c>
      <c r="F144" s="5">
        <v>2</v>
      </c>
      <c r="G144" s="5">
        <v>34</v>
      </c>
      <c r="H144">
        <v>1</v>
      </c>
      <c r="I144" t="s">
        <v>26</v>
      </c>
      <c r="J144" s="2">
        <v>1</v>
      </c>
      <c r="K144">
        <v>3</v>
      </c>
      <c r="M144" s="2">
        <v>2</v>
      </c>
      <c r="N144">
        <v>1</v>
      </c>
      <c r="O144">
        <v>2</v>
      </c>
      <c r="P144">
        <v>2</v>
      </c>
      <c r="Q144">
        <v>1</v>
      </c>
      <c r="R144">
        <v>2</v>
      </c>
      <c r="S144">
        <v>2</v>
      </c>
      <c r="T144" s="1"/>
      <c r="U144" s="1"/>
      <c r="V144" s="13"/>
      <c r="W144" s="1"/>
      <c r="Y144" s="4">
        <v>1</v>
      </c>
      <c r="Z144">
        <v>2</v>
      </c>
      <c r="AA144">
        <v>0</v>
      </c>
      <c r="AB144">
        <v>1</v>
      </c>
      <c r="AC144" s="2">
        <v>1</v>
      </c>
      <c r="AD144" s="19"/>
      <c r="AE144" s="2">
        <v>2</v>
      </c>
      <c r="AF144" s="2">
        <v>3</v>
      </c>
      <c r="AG144" s="13">
        <v>0.08</v>
      </c>
      <c r="AH144" s="5"/>
      <c r="AI144" s="4">
        <v>2</v>
      </c>
      <c r="AJ144" s="25">
        <v>3000</v>
      </c>
      <c r="AK144" s="2">
        <v>1</v>
      </c>
      <c r="AL144" s="3">
        <v>150</v>
      </c>
      <c r="AM144" s="26">
        <v>35</v>
      </c>
      <c r="AN144" s="29"/>
      <c r="AO144" s="38">
        <v>2</v>
      </c>
      <c r="AP144" s="29">
        <v>2177</v>
      </c>
      <c r="AQ144" s="2">
        <v>73.900000000000006</v>
      </c>
      <c r="AR144" s="29">
        <v>0.2</v>
      </c>
      <c r="AS144" s="28">
        <v>0.1</v>
      </c>
      <c r="AT144" s="13">
        <v>2</v>
      </c>
      <c r="AU144" s="29">
        <v>227.2</v>
      </c>
      <c r="AV144" s="2">
        <v>2</v>
      </c>
      <c r="AW144" s="2">
        <v>2</v>
      </c>
    </row>
    <row r="145" spans="1:49" x14ac:dyDescent="0.2">
      <c r="A145" s="3">
        <v>181</v>
      </c>
      <c r="B145" t="s">
        <v>25</v>
      </c>
      <c r="C145" s="2">
        <v>47.5</v>
      </c>
      <c r="D145" s="4">
        <v>2</v>
      </c>
      <c r="E145" s="4">
        <v>2</v>
      </c>
      <c r="F145" s="5">
        <v>1</v>
      </c>
      <c r="G145" s="5">
        <v>22.4</v>
      </c>
      <c r="H145">
        <v>1</v>
      </c>
      <c r="I145" t="s">
        <v>26</v>
      </c>
      <c r="J145" s="2">
        <v>1</v>
      </c>
      <c r="K145">
        <v>7</v>
      </c>
      <c r="M145" s="2">
        <v>4.3</v>
      </c>
      <c r="N145">
        <v>1</v>
      </c>
      <c r="O145">
        <v>1</v>
      </c>
      <c r="P145">
        <v>2</v>
      </c>
      <c r="S145">
        <v>2</v>
      </c>
      <c r="T145" s="1"/>
      <c r="U145" s="1"/>
      <c r="V145" s="13"/>
      <c r="W145" s="1"/>
      <c r="Y145" s="4">
        <v>2</v>
      </c>
      <c r="Z145">
        <v>3</v>
      </c>
      <c r="AA145">
        <v>0</v>
      </c>
      <c r="AB145">
        <v>1</v>
      </c>
      <c r="AC145" s="2">
        <v>1</v>
      </c>
      <c r="AD145" s="19"/>
      <c r="AE145" s="2">
        <v>2</v>
      </c>
      <c r="AF145" s="2">
        <v>3</v>
      </c>
      <c r="AH145" s="9"/>
      <c r="AI145" s="10"/>
      <c r="AJ145" s="35"/>
      <c r="AK145" s="2">
        <v>1</v>
      </c>
      <c r="AL145" s="3">
        <v>150</v>
      </c>
      <c r="AM145" s="26">
        <v>7.7</v>
      </c>
      <c r="AN145" s="29">
        <v>60.95</v>
      </c>
      <c r="AO145" s="38">
        <v>1</v>
      </c>
      <c r="AP145" s="30">
        <v>10</v>
      </c>
      <c r="AQ145" s="2">
        <v>146.1</v>
      </c>
      <c r="AR145" s="29">
        <v>0.97</v>
      </c>
      <c r="AS145" s="28">
        <v>0.11</v>
      </c>
      <c r="AT145" s="13">
        <v>1</v>
      </c>
      <c r="AU145" s="29">
        <v>1.3</v>
      </c>
      <c r="AV145" s="2">
        <v>1</v>
      </c>
      <c r="AW145" s="2">
        <v>1</v>
      </c>
    </row>
    <row r="146" spans="1:49" x14ac:dyDescent="0.2">
      <c r="A146" s="3">
        <v>154</v>
      </c>
      <c r="B146" t="s">
        <v>25</v>
      </c>
      <c r="C146" s="2">
        <v>57.4</v>
      </c>
      <c r="D146" s="4">
        <v>2</v>
      </c>
      <c r="E146" s="4">
        <v>2</v>
      </c>
      <c r="F146" s="5">
        <v>1</v>
      </c>
      <c r="G146" s="5">
        <v>33.700000000000003</v>
      </c>
      <c r="H146">
        <v>1</v>
      </c>
      <c r="I146" t="s">
        <v>28</v>
      </c>
      <c r="J146" s="2">
        <v>1</v>
      </c>
      <c r="K146">
        <v>1</v>
      </c>
      <c r="M146" s="2">
        <v>3.4</v>
      </c>
      <c r="N146">
        <v>2</v>
      </c>
      <c r="O146">
        <v>2</v>
      </c>
      <c r="P146">
        <v>2</v>
      </c>
      <c r="Q146">
        <v>1</v>
      </c>
      <c r="R146">
        <v>1</v>
      </c>
      <c r="S146">
        <v>2</v>
      </c>
      <c r="T146" s="1"/>
      <c r="U146" s="1"/>
      <c r="V146" s="13"/>
      <c r="W146" s="1"/>
      <c r="Y146" s="4"/>
      <c r="Z146">
        <v>2</v>
      </c>
      <c r="AA146">
        <v>0</v>
      </c>
      <c r="AB146">
        <v>1</v>
      </c>
      <c r="AC146" s="2">
        <v>1</v>
      </c>
      <c r="AD146" s="19"/>
      <c r="AE146" s="2">
        <v>2</v>
      </c>
      <c r="AF146" s="2">
        <v>3</v>
      </c>
      <c r="AH146" s="5"/>
      <c r="AI146" s="10"/>
      <c r="AJ146" s="35"/>
      <c r="AK146" s="2">
        <v>1</v>
      </c>
      <c r="AL146" s="3">
        <v>100</v>
      </c>
      <c r="AM146" s="26">
        <v>9.77</v>
      </c>
      <c r="AN146" s="29">
        <v>16</v>
      </c>
      <c r="AO146" s="38">
        <v>1</v>
      </c>
      <c r="AP146" s="34">
        <v>10</v>
      </c>
      <c r="AQ146" s="2">
        <v>141.4</v>
      </c>
      <c r="AR146" s="29">
        <v>0.54</v>
      </c>
      <c r="AS146" s="34">
        <f>0.1/2</f>
        <v>0.05</v>
      </c>
      <c r="AT146" s="13">
        <v>1</v>
      </c>
      <c r="AU146" s="29">
        <v>1.3</v>
      </c>
      <c r="AV146" s="2">
        <v>1</v>
      </c>
      <c r="AW146" s="2">
        <v>1</v>
      </c>
    </row>
    <row r="147" spans="1:49" x14ac:dyDescent="0.2">
      <c r="A147" s="3">
        <v>313</v>
      </c>
      <c r="B147" t="s">
        <v>25</v>
      </c>
      <c r="C147" s="2">
        <v>23.4</v>
      </c>
      <c r="D147" s="4">
        <v>2</v>
      </c>
      <c r="E147" s="4">
        <v>2</v>
      </c>
      <c r="F147" s="5">
        <v>1</v>
      </c>
      <c r="G147" s="5">
        <v>25.8</v>
      </c>
      <c r="H147">
        <v>1</v>
      </c>
      <c r="I147" t="s">
        <v>26</v>
      </c>
      <c r="J147" s="2">
        <v>1</v>
      </c>
      <c r="K147">
        <v>1</v>
      </c>
      <c r="M147" s="2">
        <v>2</v>
      </c>
      <c r="N147">
        <v>2</v>
      </c>
      <c r="O147">
        <v>1</v>
      </c>
      <c r="P147">
        <v>2</v>
      </c>
      <c r="Q147">
        <v>1</v>
      </c>
      <c r="R147">
        <v>2</v>
      </c>
      <c r="S147">
        <v>1</v>
      </c>
      <c r="T147" s="3">
        <v>17</v>
      </c>
      <c r="U147" s="3">
        <v>13</v>
      </c>
      <c r="V147" s="13">
        <v>76.47</v>
      </c>
      <c r="W147" s="2">
        <v>4.8</v>
      </c>
      <c r="X147">
        <v>2</v>
      </c>
      <c r="Y147" s="4">
        <v>2</v>
      </c>
      <c r="Z147">
        <v>1</v>
      </c>
      <c r="AA147">
        <v>2</v>
      </c>
      <c r="AB147">
        <v>2</v>
      </c>
      <c r="AC147" s="2">
        <v>4</v>
      </c>
      <c r="AD147" s="19"/>
      <c r="AE147" s="2">
        <v>3</v>
      </c>
      <c r="AF147" s="2">
        <v>4</v>
      </c>
      <c r="AH147" s="9"/>
      <c r="AI147" s="10"/>
      <c r="AJ147" s="35"/>
      <c r="AK147" s="2">
        <v>1</v>
      </c>
      <c r="AL147" s="3">
        <v>100</v>
      </c>
      <c r="AM147" s="26">
        <v>150</v>
      </c>
      <c r="AN147" s="29">
        <v>196</v>
      </c>
      <c r="AO147" s="38">
        <v>1</v>
      </c>
      <c r="AP147" s="34">
        <v>10</v>
      </c>
      <c r="AQ147" s="2">
        <v>99</v>
      </c>
      <c r="AR147" s="29">
        <v>0.56000000000000005</v>
      </c>
      <c r="AS147" s="28">
        <v>5.2</v>
      </c>
      <c r="AT147" s="13">
        <v>1</v>
      </c>
      <c r="AU147" s="29">
        <v>20</v>
      </c>
      <c r="AV147" s="2">
        <v>3</v>
      </c>
      <c r="AW147" s="2">
        <v>3</v>
      </c>
    </row>
    <row r="148" spans="1:49" x14ac:dyDescent="0.2">
      <c r="A148" s="3">
        <v>349</v>
      </c>
      <c r="B148" t="s">
        <v>27</v>
      </c>
      <c r="C148" s="2">
        <v>46.8</v>
      </c>
      <c r="D148" s="4">
        <v>2</v>
      </c>
      <c r="E148" s="4">
        <v>2</v>
      </c>
      <c r="F148" s="5">
        <v>1</v>
      </c>
      <c r="G148" s="5">
        <v>30.6</v>
      </c>
      <c r="H148">
        <v>1</v>
      </c>
      <c r="I148" t="s">
        <v>26</v>
      </c>
      <c r="J148" s="2">
        <v>1</v>
      </c>
      <c r="M148" s="2">
        <v>2.2000000000000002</v>
      </c>
      <c r="N148">
        <v>1</v>
      </c>
      <c r="O148">
        <v>2</v>
      </c>
      <c r="P148">
        <v>2</v>
      </c>
      <c r="Q148">
        <v>1</v>
      </c>
      <c r="R148">
        <v>2</v>
      </c>
      <c r="S148">
        <v>2</v>
      </c>
      <c r="T148" s="1"/>
      <c r="U148" s="1"/>
      <c r="V148" s="13"/>
      <c r="W148" s="1"/>
      <c r="Y148" s="4">
        <v>2</v>
      </c>
      <c r="Z148">
        <v>2</v>
      </c>
      <c r="AA148">
        <v>0</v>
      </c>
      <c r="AB148">
        <v>1</v>
      </c>
      <c r="AC148" s="2">
        <v>1</v>
      </c>
      <c r="AD148" s="19"/>
      <c r="AE148" s="2">
        <v>2</v>
      </c>
      <c r="AF148" s="2">
        <v>3</v>
      </c>
      <c r="AH148" s="5"/>
      <c r="AI148" s="10"/>
      <c r="AJ148" s="35"/>
      <c r="AK148" s="2">
        <v>1</v>
      </c>
      <c r="AL148" s="3">
        <v>100</v>
      </c>
      <c r="AM148" s="26">
        <v>22.8</v>
      </c>
      <c r="AN148" s="29"/>
      <c r="AO148" s="38">
        <v>1</v>
      </c>
      <c r="AP148" s="28"/>
      <c r="AQ148" s="2">
        <v>207.7</v>
      </c>
      <c r="AR148" s="29">
        <v>2.2200000000000002</v>
      </c>
      <c r="AS148" s="34">
        <f>0.1/2</f>
        <v>0.05</v>
      </c>
      <c r="AT148" s="13">
        <v>1</v>
      </c>
      <c r="AU148" s="29">
        <v>20</v>
      </c>
      <c r="AV148" s="2">
        <v>1</v>
      </c>
      <c r="AW148" s="2">
        <v>1</v>
      </c>
    </row>
    <row r="149" spans="1:49" x14ac:dyDescent="0.2">
      <c r="A149" s="3">
        <v>237</v>
      </c>
      <c r="B149" t="s">
        <v>25</v>
      </c>
      <c r="C149" s="2">
        <v>51.7</v>
      </c>
      <c r="D149" s="6">
        <v>2</v>
      </c>
      <c r="E149" s="6">
        <v>2</v>
      </c>
      <c r="F149" s="7">
        <v>1</v>
      </c>
      <c r="G149" s="7">
        <v>28.8</v>
      </c>
      <c r="H149">
        <v>1</v>
      </c>
      <c r="I149" t="s">
        <v>26</v>
      </c>
      <c r="J149" s="2">
        <v>1</v>
      </c>
      <c r="K149">
        <v>1</v>
      </c>
      <c r="M149" s="2">
        <v>0.5</v>
      </c>
      <c r="N149">
        <v>1</v>
      </c>
      <c r="O149">
        <v>2</v>
      </c>
      <c r="P149">
        <v>2</v>
      </c>
      <c r="Q149">
        <v>2</v>
      </c>
      <c r="R149">
        <v>2</v>
      </c>
      <c r="S149">
        <v>2</v>
      </c>
      <c r="T149" s="1"/>
      <c r="U149" s="1"/>
      <c r="V149" s="14"/>
      <c r="W149" s="1"/>
      <c r="Y149" s="6">
        <v>2</v>
      </c>
      <c r="Z149">
        <v>1</v>
      </c>
      <c r="AA149">
        <v>0</v>
      </c>
      <c r="AB149">
        <v>1</v>
      </c>
      <c r="AC149" s="2">
        <v>1</v>
      </c>
      <c r="AD149" s="19"/>
      <c r="AE149" s="2">
        <v>1</v>
      </c>
      <c r="AF149" s="2">
        <v>1</v>
      </c>
      <c r="AG149" s="22"/>
      <c r="AH149" s="23"/>
      <c r="AI149" s="19"/>
      <c r="AJ149" s="36"/>
      <c r="AK149" s="2">
        <v>1</v>
      </c>
      <c r="AL149" s="3">
        <v>100</v>
      </c>
      <c r="AM149" s="26">
        <v>24.4</v>
      </c>
      <c r="AN149" s="32">
        <v>21.8</v>
      </c>
      <c r="AO149" s="40">
        <v>1</v>
      </c>
      <c r="AP149" s="31"/>
      <c r="AQ149" s="2">
        <v>223.4</v>
      </c>
      <c r="AR149" s="32">
        <v>0.36</v>
      </c>
      <c r="AS149" s="31">
        <v>0.1</v>
      </c>
      <c r="AT149" s="14">
        <v>1</v>
      </c>
      <c r="AU149" s="29">
        <v>1.3</v>
      </c>
      <c r="AV149" s="2">
        <v>1</v>
      </c>
      <c r="AW149" s="2">
        <v>1</v>
      </c>
    </row>
    <row r="150" spans="1:49" x14ac:dyDescent="0.2">
      <c r="A150" s="3">
        <v>84</v>
      </c>
      <c r="B150" t="s">
        <v>25</v>
      </c>
      <c r="C150" s="2">
        <v>31.3</v>
      </c>
      <c r="D150" s="4">
        <v>2</v>
      </c>
      <c r="E150" s="4">
        <v>2</v>
      </c>
      <c r="F150" s="5">
        <v>1</v>
      </c>
      <c r="G150" s="5">
        <v>31.6</v>
      </c>
      <c r="H150">
        <v>1</v>
      </c>
      <c r="I150" t="s">
        <v>26</v>
      </c>
      <c r="J150" s="2">
        <v>1</v>
      </c>
      <c r="K150">
        <v>1</v>
      </c>
      <c r="M150" s="2">
        <v>1.5</v>
      </c>
      <c r="N150">
        <v>2</v>
      </c>
      <c r="O150">
        <v>1</v>
      </c>
      <c r="P150">
        <v>2</v>
      </c>
      <c r="Q150">
        <v>2</v>
      </c>
      <c r="R150">
        <v>2</v>
      </c>
      <c r="T150" s="1"/>
      <c r="U150" s="1"/>
      <c r="V150" s="15"/>
      <c r="W150" s="1"/>
      <c r="Y150" s="4">
        <v>2</v>
      </c>
      <c r="Z150">
        <v>1</v>
      </c>
      <c r="AA150">
        <v>3</v>
      </c>
      <c r="AB150">
        <v>1</v>
      </c>
      <c r="AC150" s="2">
        <v>1</v>
      </c>
      <c r="AD150" s="19"/>
      <c r="AE150" s="2">
        <v>2</v>
      </c>
      <c r="AF150" s="2">
        <v>3</v>
      </c>
      <c r="AH150" s="5"/>
      <c r="AI150" s="10"/>
      <c r="AJ150" s="35"/>
      <c r="AK150" s="2">
        <v>1</v>
      </c>
      <c r="AL150" s="3">
        <v>30</v>
      </c>
      <c r="AM150" s="26">
        <v>25.6</v>
      </c>
      <c r="AN150" s="28">
        <v>34.700000000000003</v>
      </c>
      <c r="AO150" s="38">
        <v>1</v>
      </c>
      <c r="AP150" s="34">
        <v>10</v>
      </c>
      <c r="AQ150" s="2">
        <v>91.8</v>
      </c>
      <c r="AR150" s="29">
        <v>0.16</v>
      </c>
      <c r="AS150" s="34">
        <f>0.1/2</f>
        <v>0.05</v>
      </c>
      <c r="AT150" s="13">
        <v>1</v>
      </c>
      <c r="AU150" s="29">
        <v>20</v>
      </c>
      <c r="AV150" s="2">
        <v>1</v>
      </c>
      <c r="AW150" s="2">
        <v>1</v>
      </c>
    </row>
    <row r="151" spans="1:49" x14ac:dyDescent="0.2">
      <c r="A151" s="3">
        <v>417</v>
      </c>
      <c r="B151" t="s">
        <v>25</v>
      </c>
      <c r="C151" s="2">
        <v>36.5</v>
      </c>
      <c r="D151" s="6">
        <v>2</v>
      </c>
      <c r="E151" s="6">
        <v>2</v>
      </c>
      <c r="F151" s="7">
        <v>1</v>
      </c>
      <c r="G151" s="7"/>
      <c r="H151">
        <v>1</v>
      </c>
      <c r="I151" t="s">
        <v>26</v>
      </c>
      <c r="J151" s="2">
        <v>1</v>
      </c>
      <c r="K151">
        <v>1</v>
      </c>
      <c r="M151" s="2">
        <v>2</v>
      </c>
      <c r="N151">
        <v>1</v>
      </c>
      <c r="O151">
        <v>2</v>
      </c>
      <c r="P151">
        <v>2</v>
      </c>
      <c r="Q151">
        <v>2</v>
      </c>
      <c r="R151">
        <v>2</v>
      </c>
      <c r="T151" s="1"/>
      <c r="U151" s="1"/>
      <c r="V151" s="14"/>
      <c r="W151" s="1"/>
      <c r="Y151" s="6"/>
      <c r="Z151">
        <v>2</v>
      </c>
      <c r="AA151">
        <v>3</v>
      </c>
      <c r="AB151">
        <v>1</v>
      </c>
      <c r="AC151" s="2">
        <v>1</v>
      </c>
      <c r="AD151" s="19"/>
      <c r="AE151" s="2">
        <v>1</v>
      </c>
      <c r="AF151" s="2">
        <v>1</v>
      </c>
      <c r="AG151" s="22"/>
      <c r="AH151" s="23"/>
      <c r="AI151" s="19"/>
      <c r="AJ151" s="36"/>
      <c r="AK151" s="2">
        <v>1</v>
      </c>
      <c r="AL151" s="1"/>
      <c r="AM151" s="26">
        <v>27.8</v>
      </c>
      <c r="AN151" s="31">
        <v>10</v>
      </c>
      <c r="AO151" s="40">
        <v>1</v>
      </c>
      <c r="AP151" s="31"/>
      <c r="AQ151" s="2">
        <v>323.2</v>
      </c>
      <c r="AR151" s="32">
        <v>0.08</v>
      </c>
      <c r="AS151" s="32">
        <v>0.1</v>
      </c>
      <c r="AT151" s="14">
        <v>1</v>
      </c>
      <c r="AU151" s="32">
        <v>20</v>
      </c>
      <c r="AV151" s="2">
        <v>1</v>
      </c>
      <c r="AW151" s="2">
        <v>1</v>
      </c>
    </row>
    <row r="152" spans="1:49" x14ac:dyDescent="0.2">
      <c r="A152" s="3">
        <v>203</v>
      </c>
      <c r="B152" t="s">
        <v>27</v>
      </c>
      <c r="C152" s="2">
        <v>52.8</v>
      </c>
      <c r="D152" s="4">
        <v>2</v>
      </c>
      <c r="E152" s="4">
        <v>1</v>
      </c>
      <c r="F152" s="5">
        <v>1</v>
      </c>
      <c r="G152" s="5">
        <v>36.9</v>
      </c>
      <c r="H152">
        <v>1</v>
      </c>
      <c r="I152" t="s">
        <v>26</v>
      </c>
      <c r="J152" s="2">
        <v>1</v>
      </c>
      <c r="K152">
        <v>1</v>
      </c>
      <c r="M152" s="2">
        <v>0.7</v>
      </c>
      <c r="N152">
        <v>1</v>
      </c>
      <c r="O152">
        <v>1</v>
      </c>
      <c r="P152">
        <v>1</v>
      </c>
      <c r="Q152">
        <v>2</v>
      </c>
      <c r="R152">
        <v>2</v>
      </c>
      <c r="S152">
        <v>2</v>
      </c>
      <c r="T152" s="1"/>
      <c r="U152" s="1"/>
      <c r="V152" s="13"/>
      <c r="W152" s="1"/>
      <c r="Y152" s="4"/>
      <c r="Z152">
        <v>1</v>
      </c>
      <c r="AA152">
        <v>0</v>
      </c>
      <c r="AB152">
        <v>1</v>
      </c>
      <c r="AC152" s="2">
        <v>1</v>
      </c>
      <c r="AD152" s="19"/>
      <c r="AE152" s="2">
        <v>1</v>
      </c>
      <c r="AF152" s="2">
        <v>3</v>
      </c>
      <c r="AH152" s="9"/>
      <c r="AI152" s="10"/>
      <c r="AJ152" s="35"/>
      <c r="AK152" s="2">
        <v>1</v>
      </c>
      <c r="AL152" s="3">
        <v>100</v>
      </c>
      <c r="AM152" s="26">
        <v>30.7</v>
      </c>
      <c r="AN152" s="29"/>
      <c r="AO152" s="39"/>
      <c r="AP152" s="28"/>
      <c r="AQ152" s="2">
        <v>168.1</v>
      </c>
      <c r="AR152" s="29">
        <v>112</v>
      </c>
      <c r="AS152" s="28">
        <v>0.5</v>
      </c>
      <c r="AT152" s="13">
        <v>1</v>
      </c>
      <c r="AU152" s="29">
        <v>20</v>
      </c>
      <c r="AV152" s="2">
        <v>1</v>
      </c>
      <c r="AW152" s="2">
        <v>1</v>
      </c>
    </row>
    <row r="153" spans="1:49" x14ac:dyDescent="0.2">
      <c r="A153" s="3">
        <v>345</v>
      </c>
      <c r="B153" t="s">
        <v>25</v>
      </c>
      <c r="C153" s="2">
        <v>23.9</v>
      </c>
      <c r="D153" s="6">
        <v>2</v>
      </c>
      <c r="E153" s="6">
        <v>2</v>
      </c>
      <c r="F153" s="7">
        <v>1</v>
      </c>
      <c r="G153" s="7">
        <v>46.3</v>
      </c>
      <c r="H153">
        <v>1</v>
      </c>
      <c r="I153" t="s">
        <v>28</v>
      </c>
      <c r="J153" s="2">
        <v>1</v>
      </c>
      <c r="M153" s="2">
        <v>4.5</v>
      </c>
      <c r="N153">
        <v>2</v>
      </c>
      <c r="O153">
        <v>2</v>
      </c>
      <c r="P153">
        <v>2</v>
      </c>
      <c r="Q153">
        <v>1</v>
      </c>
      <c r="T153" s="1"/>
      <c r="U153" s="1"/>
      <c r="V153" s="14"/>
      <c r="W153" s="1"/>
      <c r="Y153" s="6">
        <v>2</v>
      </c>
      <c r="Z153">
        <v>3</v>
      </c>
      <c r="AA153">
        <v>3</v>
      </c>
      <c r="AB153">
        <v>2</v>
      </c>
      <c r="AC153" s="2">
        <v>2</v>
      </c>
      <c r="AD153" s="19"/>
      <c r="AE153" s="2">
        <v>3</v>
      </c>
      <c r="AF153" s="2">
        <v>4</v>
      </c>
      <c r="AG153" s="22"/>
      <c r="AH153" s="23"/>
      <c r="AI153" s="19"/>
      <c r="AJ153" s="36"/>
      <c r="AK153" s="2">
        <v>1</v>
      </c>
      <c r="AL153" s="3">
        <v>200</v>
      </c>
      <c r="AM153" s="26">
        <v>31</v>
      </c>
      <c r="AN153" s="32">
        <v>236</v>
      </c>
      <c r="AO153" s="40">
        <v>1</v>
      </c>
      <c r="AP153" s="31">
        <v>10</v>
      </c>
      <c r="AQ153" s="2">
        <v>249.9</v>
      </c>
      <c r="AR153" s="32">
        <v>0.31</v>
      </c>
      <c r="AS153" s="32">
        <v>0.1</v>
      </c>
      <c r="AT153" s="14">
        <v>2</v>
      </c>
      <c r="AU153" s="32">
        <v>1.4</v>
      </c>
      <c r="AV153" s="2">
        <v>4</v>
      </c>
      <c r="AW153" s="2">
        <v>4</v>
      </c>
    </row>
    <row r="154" spans="1:49" x14ac:dyDescent="0.2">
      <c r="A154" s="3">
        <v>85</v>
      </c>
      <c r="B154" t="s">
        <v>25</v>
      </c>
      <c r="C154" s="2">
        <v>33</v>
      </c>
      <c r="D154" s="6">
        <v>2</v>
      </c>
      <c r="E154" s="6">
        <v>2</v>
      </c>
      <c r="F154" s="7">
        <v>1</v>
      </c>
      <c r="G154" s="7">
        <v>23.7</v>
      </c>
      <c r="H154">
        <v>1</v>
      </c>
      <c r="I154" t="s">
        <v>26</v>
      </c>
      <c r="J154" s="2">
        <v>1</v>
      </c>
      <c r="K154">
        <v>1</v>
      </c>
      <c r="M154" s="2">
        <v>1.5</v>
      </c>
      <c r="N154">
        <v>1</v>
      </c>
      <c r="O154">
        <v>1</v>
      </c>
      <c r="P154">
        <v>1</v>
      </c>
      <c r="T154" s="1"/>
      <c r="U154" s="1"/>
      <c r="V154" s="14"/>
      <c r="W154" s="1"/>
      <c r="Y154" s="6">
        <v>2</v>
      </c>
      <c r="Z154">
        <v>1</v>
      </c>
      <c r="AA154">
        <v>3</v>
      </c>
      <c r="AB154">
        <v>1</v>
      </c>
      <c r="AC154" s="2">
        <v>1</v>
      </c>
      <c r="AD154" s="19"/>
      <c r="AE154" s="2">
        <v>1</v>
      </c>
      <c r="AF154" s="2">
        <v>3</v>
      </c>
      <c r="AG154" s="22"/>
      <c r="AH154" s="23"/>
      <c r="AI154" s="19"/>
      <c r="AJ154" s="36"/>
      <c r="AK154" s="2">
        <v>1</v>
      </c>
      <c r="AL154" s="3">
        <v>100</v>
      </c>
      <c r="AM154" s="26">
        <v>32</v>
      </c>
      <c r="AN154" s="32"/>
      <c r="AO154" s="41"/>
      <c r="AP154" s="31"/>
      <c r="AQ154" s="2">
        <v>234.9</v>
      </c>
      <c r="AR154" s="32">
        <v>3.92</v>
      </c>
      <c r="AS154" s="31">
        <f>0.1/2</f>
        <v>0.05</v>
      </c>
      <c r="AT154" s="14">
        <v>2</v>
      </c>
      <c r="AU154" s="32">
        <v>13.5</v>
      </c>
      <c r="AV154" s="2">
        <v>2</v>
      </c>
      <c r="AW154" s="2">
        <v>2</v>
      </c>
    </row>
    <row r="155" spans="1:49" x14ac:dyDescent="0.2">
      <c r="A155" s="3">
        <v>261</v>
      </c>
      <c r="B155" t="s">
        <v>25</v>
      </c>
      <c r="C155" s="2">
        <v>35.700000000000003</v>
      </c>
      <c r="D155" s="6">
        <v>2</v>
      </c>
      <c r="E155" s="6">
        <v>2</v>
      </c>
      <c r="F155" s="7">
        <v>1</v>
      </c>
      <c r="G155" s="7">
        <v>38.700000000000003</v>
      </c>
      <c r="H155">
        <v>1</v>
      </c>
      <c r="I155" t="s">
        <v>26</v>
      </c>
      <c r="J155" s="2">
        <v>1</v>
      </c>
      <c r="K155">
        <v>1</v>
      </c>
      <c r="M155" s="2">
        <v>5.5</v>
      </c>
      <c r="O155">
        <v>2</v>
      </c>
      <c r="P155">
        <v>2</v>
      </c>
      <c r="T155" s="1"/>
      <c r="U155" s="1"/>
      <c r="V155" s="14"/>
      <c r="W155" s="1"/>
      <c r="Y155" s="6"/>
      <c r="Z155">
        <v>3</v>
      </c>
      <c r="AA155">
        <v>3</v>
      </c>
      <c r="AB155">
        <v>1</v>
      </c>
      <c r="AC155" s="2">
        <v>1</v>
      </c>
      <c r="AD155" s="19"/>
      <c r="AE155" s="2">
        <v>2</v>
      </c>
      <c r="AF155" s="2">
        <v>2</v>
      </c>
      <c r="AG155" s="22"/>
      <c r="AH155" s="7"/>
      <c r="AI155" s="19"/>
      <c r="AJ155" s="22"/>
      <c r="AK155" s="2">
        <v>1</v>
      </c>
      <c r="AL155" s="3">
        <v>30</v>
      </c>
      <c r="AM155" s="26">
        <v>33</v>
      </c>
      <c r="AN155" s="32">
        <v>0.1</v>
      </c>
      <c r="AO155" s="40">
        <v>1</v>
      </c>
      <c r="AP155" s="32"/>
      <c r="AQ155" s="2">
        <v>315.8</v>
      </c>
      <c r="AR155" s="32">
        <v>0.41</v>
      </c>
      <c r="AS155" s="31">
        <v>0.05</v>
      </c>
      <c r="AT155" s="14">
        <v>1</v>
      </c>
      <c r="AU155" s="29">
        <v>1.3</v>
      </c>
      <c r="AV155" s="2">
        <v>1</v>
      </c>
      <c r="AW155" s="2">
        <v>1</v>
      </c>
    </row>
    <row r="156" spans="1:49" x14ac:dyDescent="0.2">
      <c r="A156" s="3">
        <v>97</v>
      </c>
      <c r="B156" t="s">
        <v>27</v>
      </c>
      <c r="C156" s="2">
        <v>58.3</v>
      </c>
      <c r="D156" s="6">
        <v>2</v>
      </c>
      <c r="E156" s="6">
        <v>2</v>
      </c>
      <c r="F156" s="7"/>
      <c r="G156" s="7">
        <v>30.6</v>
      </c>
      <c r="H156">
        <v>1</v>
      </c>
      <c r="I156" t="s">
        <v>26</v>
      </c>
      <c r="J156" s="2">
        <v>1</v>
      </c>
      <c r="K156">
        <v>1</v>
      </c>
      <c r="M156" s="2">
        <v>1.5</v>
      </c>
      <c r="N156">
        <v>2</v>
      </c>
      <c r="O156">
        <v>2</v>
      </c>
      <c r="P156">
        <v>2</v>
      </c>
      <c r="Q156">
        <v>2</v>
      </c>
      <c r="R156">
        <v>2</v>
      </c>
      <c r="T156" s="1"/>
      <c r="U156" s="1"/>
      <c r="V156" s="14"/>
      <c r="W156" s="1"/>
      <c r="Y156" s="6">
        <v>2</v>
      </c>
      <c r="Z156">
        <v>1</v>
      </c>
      <c r="AA156">
        <v>3</v>
      </c>
      <c r="AB156">
        <v>1</v>
      </c>
      <c r="AC156" s="2">
        <v>1</v>
      </c>
      <c r="AD156" s="19"/>
      <c r="AE156" s="2">
        <v>2</v>
      </c>
      <c r="AF156" s="2">
        <v>2</v>
      </c>
      <c r="AG156" s="22"/>
      <c r="AH156" s="23"/>
      <c r="AI156" s="19"/>
      <c r="AJ156" s="36"/>
      <c r="AK156" s="2">
        <v>1</v>
      </c>
      <c r="AL156" s="3">
        <v>100</v>
      </c>
      <c r="AM156" s="26">
        <v>35.299999999999997</v>
      </c>
      <c r="AN156" s="32"/>
      <c r="AO156" s="41"/>
      <c r="AP156" s="31"/>
      <c r="AQ156" s="2">
        <v>251.2</v>
      </c>
      <c r="AR156" s="32">
        <v>6.27</v>
      </c>
      <c r="AS156" s="31">
        <v>0.1</v>
      </c>
      <c r="AT156" s="14">
        <v>1</v>
      </c>
      <c r="AU156" s="32">
        <v>1.3</v>
      </c>
      <c r="AV156" s="2">
        <v>1</v>
      </c>
      <c r="AW156" s="2">
        <v>1</v>
      </c>
    </row>
    <row r="157" spans="1:49" x14ac:dyDescent="0.2">
      <c r="A157" s="3">
        <v>352</v>
      </c>
      <c r="B157" t="s">
        <v>25</v>
      </c>
      <c r="C157" s="2">
        <v>56.9</v>
      </c>
      <c r="D157" s="4">
        <v>2</v>
      </c>
      <c r="E157" s="4">
        <v>2</v>
      </c>
      <c r="F157" s="5">
        <v>1</v>
      </c>
      <c r="G157" s="5">
        <v>33.799999999999997</v>
      </c>
      <c r="H157">
        <v>2</v>
      </c>
      <c r="I157" t="s">
        <v>26</v>
      </c>
      <c r="J157" s="2">
        <v>1</v>
      </c>
      <c r="K157">
        <v>4</v>
      </c>
      <c r="M157" s="2">
        <v>1.8</v>
      </c>
      <c r="N157">
        <v>1</v>
      </c>
      <c r="O157">
        <v>1</v>
      </c>
      <c r="P157">
        <v>1</v>
      </c>
      <c r="Q157">
        <v>2</v>
      </c>
      <c r="R157">
        <v>2</v>
      </c>
      <c r="S157">
        <v>2</v>
      </c>
      <c r="T157" s="1"/>
      <c r="U157" s="1"/>
      <c r="V157" s="13"/>
      <c r="W157" s="1"/>
      <c r="Y157" s="4">
        <v>2</v>
      </c>
      <c r="Z157">
        <v>1</v>
      </c>
      <c r="AA157">
        <v>0</v>
      </c>
      <c r="AB157">
        <v>1</v>
      </c>
      <c r="AC157" s="2">
        <v>1</v>
      </c>
      <c r="AD157" s="19"/>
      <c r="AE157" s="2">
        <v>1</v>
      </c>
      <c r="AF157" s="2">
        <v>3</v>
      </c>
      <c r="AH157" s="9"/>
      <c r="AI157" s="10"/>
      <c r="AJ157" s="35"/>
      <c r="AK157" s="2">
        <v>1</v>
      </c>
      <c r="AL157" s="3">
        <v>100</v>
      </c>
      <c r="AM157" s="26">
        <v>38.799999999999997</v>
      </c>
      <c r="AN157" s="29">
        <v>0.93</v>
      </c>
      <c r="AO157" s="38">
        <v>1</v>
      </c>
      <c r="AP157" s="34">
        <v>10</v>
      </c>
      <c r="AQ157" s="2">
        <v>88.7</v>
      </c>
      <c r="AR157" s="29">
        <v>6.9</v>
      </c>
      <c r="AS157" s="34">
        <v>0.1</v>
      </c>
      <c r="AT157" s="13">
        <v>1</v>
      </c>
      <c r="AU157" s="29">
        <v>20</v>
      </c>
      <c r="AV157" s="2">
        <v>1</v>
      </c>
      <c r="AW157" s="2">
        <v>1</v>
      </c>
    </row>
    <row r="158" spans="1:49" x14ac:dyDescent="0.2">
      <c r="A158" s="3">
        <v>354</v>
      </c>
      <c r="B158" t="s">
        <v>25</v>
      </c>
      <c r="C158" s="2">
        <v>76.099999999999994</v>
      </c>
      <c r="D158" s="4">
        <v>2</v>
      </c>
      <c r="E158" s="4">
        <v>2</v>
      </c>
      <c r="F158" s="5"/>
      <c r="G158" s="5"/>
      <c r="H158">
        <v>1</v>
      </c>
      <c r="I158" t="s">
        <v>28</v>
      </c>
      <c r="J158" s="2">
        <v>1</v>
      </c>
      <c r="K158">
        <v>1</v>
      </c>
      <c r="M158" s="2">
        <v>4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1</v>
      </c>
      <c r="T158" s="3">
        <v>1</v>
      </c>
      <c r="U158" s="3">
        <v>1</v>
      </c>
      <c r="V158" s="13">
        <v>100</v>
      </c>
      <c r="W158" s="2">
        <v>3</v>
      </c>
      <c r="X158">
        <v>2</v>
      </c>
      <c r="Y158" s="4"/>
      <c r="Z158">
        <v>2</v>
      </c>
      <c r="AA158">
        <v>2</v>
      </c>
      <c r="AB158">
        <v>1</v>
      </c>
      <c r="AC158" s="2">
        <v>2</v>
      </c>
      <c r="AD158" s="19"/>
      <c r="AE158" s="2">
        <v>3</v>
      </c>
      <c r="AF158" s="2">
        <v>4</v>
      </c>
      <c r="AH158" s="5"/>
      <c r="AI158" s="10"/>
      <c r="AJ158" s="35"/>
      <c r="AK158" s="2">
        <v>1</v>
      </c>
      <c r="AL158" s="3">
        <v>200</v>
      </c>
      <c r="AM158" s="27">
        <v>150</v>
      </c>
      <c r="AN158" s="29"/>
      <c r="AO158" s="38">
        <v>2</v>
      </c>
      <c r="AP158" s="33">
        <v>3000</v>
      </c>
      <c r="AQ158" s="2">
        <v>88</v>
      </c>
      <c r="AR158" s="29">
        <v>0.54</v>
      </c>
      <c r="AS158" s="29"/>
      <c r="AT158" s="13">
        <v>2</v>
      </c>
      <c r="AU158" s="29">
        <v>3000</v>
      </c>
      <c r="AV158" s="2">
        <v>2</v>
      </c>
      <c r="AW158" s="2">
        <v>2</v>
      </c>
    </row>
    <row r="159" spans="1:49" x14ac:dyDescent="0.2">
      <c r="A159" s="3">
        <v>248</v>
      </c>
      <c r="B159" t="s">
        <v>27</v>
      </c>
      <c r="C159" s="2">
        <v>38.1</v>
      </c>
      <c r="D159" s="4">
        <v>2</v>
      </c>
      <c r="E159" s="4">
        <v>2</v>
      </c>
      <c r="F159" s="5"/>
      <c r="G159" s="5"/>
      <c r="H159">
        <v>1</v>
      </c>
      <c r="I159" t="s">
        <v>26</v>
      </c>
      <c r="J159" s="2">
        <v>1</v>
      </c>
      <c r="K159">
        <v>3</v>
      </c>
      <c r="M159" s="2">
        <v>0.7</v>
      </c>
      <c r="O159">
        <v>2</v>
      </c>
      <c r="P159">
        <v>2</v>
      </c>
      <c r="S159">
        <v>1</v>
      </c>
      <c r="T159" s="3">
        <v>1</v>
      </c>
      <c r="U159" s="3">
        <v>1</v>
      </c>
      <c r="V159" s="13">
        <v>100</v>
      </c>
      <c r="W159" s="1"/>
      <c r="Y159" s="4"/>
      <c r="Z159">
        <v>1</v>
      </c>
      <c r="AA159">
        <v>2</v>
      </c>
      <c r="AB159">
        <v>1</v>
      </c>
      <c r="AC159" s="2">
        <v>1</v>
      </c>
      <c r="AD159" s="19"/>
      <c r="AE159" s="2">
        <v>2</v>
      </c>
      <c r="AF159" s="2">
        <v>3</v>
      </c>
      <c r="AH159" s="9"/>
      <c r="AI159" s="10"/>
      <c r="AJ159" s="35"/>
      <c r="AK159" s="2">
        <v>1</v>
      </c>
      <c r="AL159" s="3">
        <v>30</v>
      </c>
      <c r="AM159" s="27">
        <v>200</v>
      </c>
      <c r="AN159" s="29">
        <v>2.9</v>
      </c>
      <c r="AO159" s="39"/>
      <c r="AP159" s="28"/>
      <c r="AQ159" s="2">
        <v>163</v>
      </c>
      <c r="AR159" s="29">
        <v>65</v>
      </c>
      <c r="AS159" s="28">
        <v>0.1</v>
      </c>
      <c r="AT159" s="13">
        <v>1</v>
      </c>
      <c r="AU159" s="29"/>
      <c r="AV159" s="2">
        <v>1</v>
      </c>
      <c r="AW159" s="2">
        <v>1</v>
      </c>
    </row>
    <row r="160" spans="1:49" x14ac:dyDescent="0.2">
      <c r="A160" s="3">
        <v>211</v>
      </c>
      <c r="B160" t="s">
        <v>25</v>
      </c>
      <c r="C160" s="2">
        <v>52.6</v>
      </c>
      <c r="D160" s="4">
        <v>2</v>
      </c>
      <c r="E160" s="4">
        <v>2</v>
      </c>
      <c r="F160" s="5">
        <v>1</v>
      </c>
      <c r="G160" s="5">
        <v>31.377989169999999</v>
      </c>
      <c r="H160">
        <v>1</v>
      </c>
      <c r="I160" t="s">
        <v>26</v>
      </c>
      <c r="J160" s="2">
        <v>3</v>
      </c>
      <c r="M160" s="2">
        <v>7.5</v>
      </c>
      <c r="N160">
        <v>1</v>
      </c>
      <c r="O160">
        <v>2</v>
      </c>
      <c r="P160">
        <v>2</v>
      </c>
      <c r="Q160">
        <v>2</v>
      </c>
      <c r="R160">
        <v>2</v>
      </c>
      <c r="S160">
        <v>2</v>
      </c>
      <c r="T160" s="1"/>
      <c r="U160" s="1"/>
      <c r="V160" s="13"/>
      <c r="W160" s="1"/>
      <c r="Y160" s="4">
        <v>2</v>
      </c>
      <c r="Z160">
        <v>3</v>
      </c>
      <c r="AA160">
        <v>0</v>
      </c>
      <c r="AB160">
        <v>1</v>
      </c>
      <c r="AC160" s="2">
        <v>1</v>
      </c>
      <c r="AD160" s="19"/>
      <c r="AE160" s="2">
        <v>3</v>
      </c>
      <c r="AF160" s="2">
        <v>4</v>
      </c>
      <c r="AH160" s="5"/>
      <c r="AI160" s="10"/>
      <c r="AJ160" s="35"/>
      <c r="AK160" s="2">
        <v>1</v>
      </c>
      <c r="AL160" s="3">
        <v>100</v>
      </c>
      <c r="AM160" s="26">
        <v>49</v>
      </c>
      <c r="AN160" s="29">
        <v>1.29</v>
      </c>
      <c r="AO160" s="38">
        <v>1</v>
      </c>
      <c r="AP160" s="34">
        <v>10</v>
      </c>
      <c r="AQ160" s="2">
        <v>185.1</v>
      </c>
      <c r="AR160" s="29">
        <v>0.15</v>
      </c>
      <c r="AS160" s="28">
        <v>2.42</v>
      </c>
      <c r="AT160" s="13">
        <v>1</v>
      </c>
      <c r="AU160" s="29">
        <v>20</v>
      </c>
      <c r="AV160" s="2">
        <v>4</v>
      </c>
      <c r="AW160" s="2">
        <v>4</v>
      </c>
    </row>
    <row r="161" spans="1:49" x14ac:dyDescent="0.2">
      <c r="A161" s="3">
        <v>159</v>
      </c>
      <c r="B161" t="s">
        <v>25</v>
      </c>
      <c r="C161" s="2">
        <v>44.1</v>
      </c>
      <c r="D161" s="6">
        <v>2</v>
      </c>
      <c r="E161" s="6">
        <v>2</v>
      </c>
      <c r="F161" s="7"/>
      <c r="G161" s="7">
        <v>36.6</v>
      </c>
      <c r="H161">
        <v>2</v>
      </c>
      <c r="I161" t="s">
        <v>26</v>
      </c>
      <c r="J161" s="2">
        <v>1</v>
      </c>
      <c r="K161">
        <v>1</v>
      </c>
      <c r="M161" s="2">
        <v>2.5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1</v>
      </c>
      <c r="T161" s="3">
        <v>21</v>
      </c>
      <c r="U161" s="3">
        <v>6</v>
      </c>
      <c r="V161" s="14">
        <v>28.57</v>
      </c>
      <c r="W161" s="2">
        <v>2.5</v>
      </c>
      <c r="X161">
        <v>2</v>
      </c>
      <c r="Y161" s="6">
        <v>1</v>
      </c>
      <c r="Z161">
        <v>2</v>
      </c>
      <c r="AA161">
        <v>2</v>
      </c>
      <c r="AB161">
        <v>1</v>
      </c>
      <c r="AC161" s="2">
        <v>1</v>
      </c>
      <c r="AD161" s="19"/>
      <c r="AE161" s="2">
        <v>2</v>
      </c>
      <c r="AF161" s="2">
        <v>3</v>
      </c>
      <c r="AG161" s="22"/>
      <c r="AH161" s="23"/>
      <c r="AI161" s="19"/>
      <c r="AJ161" s="36"/>
      <c r="AK161" s="2">
        <v>1</v>
      </c>
      <c r="AL161" s="3">
        <v>100</v>
      </c>
      <c r="AM161" s="26"/>
      <c r="AN161" s="32"/>
      <c r="AO161" s="41"/>
      <c r="AP161" s="31"/>
      <c r="AQ161" s="2">
        <v>234.8</v>
      </c>
      <c r="AR161" s="32">
        <v>7.0000000000000007E-2</v>
      </c>
      <c r="AS161" s="31">
        <v>0.05</v>
      </c>
      <c r="AT161" s="14">
        <v>2</v>
      </c>
      <c r="AU161" s="32">
        <v>6.8</v>
      </c>
      <c r="AV161" s="2">
        <v>2</v>
      </c>
      <c r="AW161" s="2">
        <v>2</v>
      </c>
    </row>
    <row r="162" spans="1:49" x14ac:dyDescent="0.2">
      <c r="A162" s="3">
        <v>340</v>
      </c>
      <c r="B162" t="s">
        <v>27</v>
      </c>
      <c r="C162" s="2">
        <v>49.7</v>
      </c>
      <c r="D162" s="4">
        <v>2</v>
      </c>
      <c r="E162" s="4">
        <v>2</v>
      </c>
      <c r="F162" s="5">
        <v>1</v>
      </c>
      <c r="G162" s="5">
        <v>32.9</v>
      </c>
      <c r="H162">
        <v>2</v>
      </c>
      <c r="I162" t="s">
        <v>26</v>
      </c>
      <c r="J162" s="2">
        <v>1</v>
      </c>
      <c r="K162">
        <v>3</v>
      </c>
      <c r="M162" s="2">
        <v>6</v>
      </c>
      <c r="N162">
        <v>1</v>
      </c>
      <c r="O162">
        <v>2</v>
      </c>
      <c r="P162">
        <v>2</v>
      </c>
      <c r="Q162">
        <v>2</v>
      </c>
      <c r="R162">
        <v>2</v>
      </c>
      <c r="S162">
        <v>2</v>
      </c>
      <c r="T162" s="1"/>
      <c r="U162" s="1"/>
      <c r="V162" s="13"/>
      <c r="W162" s="1"/>
      <c r="Y162" s="4">
        <v>1</v>
      </c>
      <c r="Z162">
        <v>3</v>
      </c>
      <c r="AA162">
        <v>0</v>
      </c>
      <c r="AB162">
        <v>1</v>
      </c>
      <c r="AC162" s="2">
        <v>1</v>
      </c>
      <c r="AD162" s="19"/>
      <c r="AE162" s="2">
        <v>1</v>
      </c>
      <c r="AF162" s="2">
        <v>2</v>
      </c>
      <c r="AH162" s="5"/>
      <c r="AI162" s="10"/>
      <c r="AJ162" s="35"/>
      <c r="AK162" s="2">
        <v>1</v>
      </c>
      <c r="AL162" s="3">
        <v>100</v>
      </c>
      <c r="AM162" s="26">
        <v>50.7</v>
      </c>
      <c r="AN162" s="29">
        <v>2.79</v>
      </c>
      <c r="AO162" s="38">
        <v>1</v>
      </c>
      <c r="AP162" s="34">
        <v>10</v>
      </c>
      <c r="AQ162" s="2">
        <v>109.7</v>
      </c>
      <c r="AR162" s="29">
        <v>5.6</v>
      </c>
      <c r="AS162" s="28">
        <v>0.1</v>
      </c>
      <c r="AT162" s="13">
        <v>1</v>
      </c>
      <c r="AU162" s="29">
        <v>20</v>
      </c>
      <c r="AV162" s="2">
        <v>1</v>
      </c>
      <c r="AW162" s="2">
        <v>1</v>
      </c>
    </row>
    <row r="163" spans="1:49" x14ac:dyDescent="0.2">
      <c r="A163" s="3">
        <v>17</v>
      </c>
      <c r="B163" t="s">
        <v>25</v>
      </c>
      <c r="C163" s="2">
        <v>44.4</v>
      </c>
      <c r="D163" s="6">
        <v>2</v>
      </c>
      <c r="E163" s="6">
        <v>2</v>
      </c>
      <c r="F163" s="7">
        <v>1</v>
      </c>
      <c r="G163" s="7">
        <v>29.1</v>
      </c>
      <c r="H163">
        <v>1</v>
      </c>
      <c r="I163" t="s">
        <v>26</v>
      </c>
      <c r="J163" s="2">
        <v>1</v>
      </c>
      <c r="K163">
        <v>1</v>
      </c>
      <c r="M163" s="2">
        <v>2.9</v>
      </c>
      <c r="O163">
        <v>1</v>
      </c>
      <c r="P163">
        <v>1</v>
      </c>
      <c r="T163" s="1"/>
      <c r="U163" s="1"/>
      <c r="V163" s="14"/>
      <c r="W163" s="1"/>
      <c r="Y163" s="6">
        <v>1</v>
      </c>
      <c r="Z163">
        <v>2</v>
      </c>
      <c r="AA163">
        <v>3</v>
      </c>
      <c r="AB163">
        <v>1</v>
      </c>
      <c r="AC163" s="2">
        <v>1</v>
      </c>
      <c r="AD163" s="19"/>
      <c r="AE163" s="2">
        <v>1</v>
      </c>
      <c r="AF163" s="2">
        <v>3</v>
      </c>
      <c r="AG163" s="22"/>
      <c r="AH163" s="23"/>
      <c r="AI163" s="19"/>
      <c r="AJ163" s="36"/>
      <c r="AK163" s="2">
        <v>1</v>
      </c>
      <c r="AL163" s="3">
        <v>150</v>
      </c>
      <c r="AM163" s="26">
        <v>55.5</v>
      </c>
      <c r="AN163" s="32"/>
      <c r="AO163" s="41"/>
      <c r="AP163" s="31"/>
      <c r="AQ163" s="2">
        <v>243.8</v>
      </c>
      <c r="AR163" s="32">
        <v>3.03</v>
      </c>
      <c r="AS163" s="31">
        <v>0.05</v>
      </c>
      <c r="AT163" s="14">
        <v>1</v>
      </c>
      <c r="AU163" s="29">
        <v>1.3</v>
      </c>
      <c r="AV163" s="2">
        <v>1</v>
      </c>
      <c r="AW163" s="2">
        <v>1</v>
      </c>
    </row>
    <row r="164" spans="1:49" x14ac:dyDescent="0.2">
      <c r="A164" s="3">
        <v>347</v>
      </c>
      <c r="B164" t="s">
        <v>25</v>
      </c>
      <c r="C164" s="2">
        <v>54.4</v>
      </c>
      <c r="D164" s="6">
        <v>2</v>
      </c>
      <c r="E164" s="6">
        <v>2</v>
      </c>
      <c r="F164" s="7">
        <v>1</v>
      </c>
      <c r="G164" s="7">
        <v>28.8</v>
      </c>
      <c r="H164">
        <v>1</v>
      </c>
      <c r="I164" t="s">
        <v>26</v>
      </c>
      <c r="J164" s="2">
        <v>1</v>
      </c>
      <c r="M164" s="2">
        <v>7.5</v>
      </c>
      <c r="N164">
        <v>2</v>
      </c>
      <c r="O164">
        <v>2</v>
      </c>
      <c r="P164">
        <v>1</v>
      </c>
      <c r="T164" s="1"/>
      <c r="U164" s="1"/>
      <c r="V164" s="14"/>
      <c r="W164" s="1"/>
      <c r="Y164" s="6"/>
      <c r="Z164">
        <v>3</v>
      </c>
      <c r="AA164">
        <v>3</v>
      </c>
      <c r="AB164">
        <v>1</v>
      </c>
      <c r="AC164" s="2">
        <v>1</v>
      </c>
      <c r="AD164" s="19"/>
      <c r="AE164" s="2">
        <v>2</v>
      </c>
      <c r="AF164" s="2">
        <v>4</v>
      </c>
      <c r="AG164" s="22"/>
      <c r="AH164" s="23"/>
      <c r="AI164" s="19"/>
      <c r="AJ164" s="36"/>
      <c r="AK164" s="2">
        <v>1</v>
      </c>
      <c r="AL164" s="3">
        <v>150</v>
      </c>
      <c r="AM164" s="26">
        <v>56</v>
      </c>
      <c r="AN164" s="32"/>
      <c r="AO164" s="40">
        <v>2</v>
      </c>
      <c r="AP164" s="31">
        <v>1461</v>
      </c>
      <c r="AQ164" s="2">
        <v>266.7</v>
      </c>
      <c r="AR164" s="32">
        <v>0.01</v>
      </c>
      <c r="AS164" s="31"/>
      <c r="AT164" s="14">
        <v>2</v>
      </c>
      <c r="AU164" s="32">
        <v>42</v>
      </c>
      <c r="AV164" s="2">
        <v>4</v>
      </c>
      <c r="AW164" s="2">
        <v>4</v>
      </c>
    </row>
    <row r="165" spans="1:49" x14ac:dyDescent="0.2">
      <c r="A165" s="3">
        <v>398</v>
      </c>
      <c r="B165" t="s">
        <v>25</v>
      </c>
      <c r="C165" s="2">
        <v>41</v>
      </c>
      <c r="D165" s="4">
        <v>2</v>
      </c>
      <c r="E165" s="4">
        <v>2</v>
      </c>
      <c r="F165" s="5">
        <v>2</v>
      </c>
      <c r="G165" s="5">
        <v>25.3</v>
      </c>
      <c r="H165">
        <v>1</v>
      </c>
      <c r="I165" t="s">
        <v>26</v>
      </c>
      <c r="J165" s="2">
        <v>1</v>
      </c>
      <c r="K165">
        <v>4</v>
      </c>
      <c r="M165" s="2">
        <v>1.3</v>
      </c>
      <c r="N165">
        <v>1</v>
      </c>
      <c r="O165">
        <v>2</v>
      </c>
      <c r="P165">
        <v>2</v>
      </c>
      <c r="Q165">
        <v>2</v>
      </c>
      <c r="R165">
        <v>2</v>
      </c>
      <c r="T165" s="1"/>
      <c r="U165" s="1"/>
      <c r="V165" s="13"/>
      <c r="W165" s="1"/>
      <c r="Y165" s="4">
        <v>1</v>
      </c>
      <c r="Z165">
        <v>1</v>
      </c>
      <c r="AA165">
        <v>0</v>
      </c>
      <c r="AB165">
        <v>1</v>
      </c>
      <c r="AC165" s="2">
        <v>1</v>
      </c>
      <c r="AD165" s="19"/>
      <c r="AE165" s="2">
        <v>1</v>
      </c>
      <c r="AF165" s="2">
        <v>1</v>
      </c>
      <c r="AH165" s="5"/>
      <c r="AI165" s="10"/>
      <c r="AJ165" s="35"/>
      <c r="AK165" s="2">
        <v>1</v>
      </c>
      <c r="AL165" s="3">
        <v>30</v>
      </c>
      <c r="AM165" s="26">
        <v>57</v>
      </c>
      <c r="AN165" s="29">
        <v>0.1</v>
      </c>
      <c r="AO165" s="38">
        <v>2</v>
      </c>
      <c r="AP165" s="33">
        <v>3000</v>
      </c>
      <c r="AQ165" s="2">
        <v>159.6</v>
      </c>
      <c r="AR165" s="29">
        <v>6.04</v>
      </c>
      <c r="AS165" s="28">
        <v>0.1</v>
      </c>
      <c r="AT165" s="13">
        <v>2</v>
      </c>
      <c r="AU165" s="29">
        <v>28</v>
      </c>
      <c r="AV165" s="2">
        <v>2</v>
      </c>
      <c r="AW165" s="2">
        <v>2</v>
      </c>
    </row>
    <row r="166" spans="1:49" x14ac:dyDescent="0.2">
      <c r="A166" s="3">
        <v>243</v>
      </c>
      <c r="B166" t="s">
        <v>25</v>
      </c>
      <c r="C166" s="2">
        <v>37.200000000000003</v>
      </c>
      <c r="D166" s="4">
        <v>2</v>
      </c>
      <c r="E166" s="4">
        <v>2</v>
      </c>
      <c r="F166" s="5"/>
      <c r="G166" s="5">
        <v>33.5</v>
      </c>
      <c r="H166">
        <v>1</v>
      </c>
      <c r="I166" t="s">
        <v>26</v>
      </c>
      <c r="J166" s="2">
        <v>1</v>
      </c>
      <c r="K166">
        <v>3</v>
      </c>
      <c r="M166" s="2">
        <v>1.7</v>
      </c>
      <c r="N166">
        <v>1</v>
      </c>
      <c r="O166">
        <v>2</v>
      </c>
      <c r="P166">
        <v>2</v>
      </c>
      <c r="Q166">
        <v>2</v>
      </c>
      <c r="R166">
        <v>2</v>
      </c>
      <c r="S166">
        <v>2</v>
      </c>
      <c r="T166" s="1"/>
      <c r="U166" s="1"/>
      <c r="V166" s="13"/>
      <c r="W166" s="1"/>
      <c r="Y166" s="4">
        <v>2</v>
      </c>
      <c r="Z166">
        <v>1</v>
      </c>
      <c r="AA166">
        <v>0</v>
      </c>
      <c r="AB166">
        <v>1</v>
      </c>
      <c r="AC166" s="2">
        <v>1</v>
      </c>
      <c r="AD166" s="19"/>
      <c r="AE166" s="2">
        <v>1</v>
      </c>
      <c r="AF166" s="2">
        <v>1</v>
      </c>
      <c r="AH166" s="5"/>
      <c r="AI166" s="10"/>
      <c r="AJ166" s="35"/>
      <c r="AK166" s="2">
        <v>1</v>
      </c>
      <c r="AL166" s="3">
        <v>30</v>
      </c>
      <c r="AM166" s="26">
        <v>57</v>
      </c>
      <c r="AN166" s="29">
        <v>1.1000000000000001</v>
      </c>
      <c r="AO166" s="38">
        <v>1</v>
      </c>
      <c r="AP166" s="28">
        <v>20</v>
      </c>
      <c r="AQ166" s="2">
        <v>222.2</v>
      </c>
      <c r="AR166" s="29">
        <v>0.48</v>
      </c>
      <c r="AS166" s="29">
        <v>0.1</v>
      </c>
      <c r="AT166" s="13">
        <v>1</v>
      </c>
      <c r="AU166" s="29">
        <v>20</v>
      </c>
      <c r="AV166" s="2">
        <v>1</v>
      </c>
      <c r="AW166" s="2">
        <v>1</v>
      </c>
    </row>
    <row r="167" spans="1:49" x14ac:dyDescent="0.2">
      <c r="A167" s="3">
        <v>447</v>
      </c>
      <c r="B167" t="s">
        <v>27</v>
      </c>
      <c r="C167" s="2">
        <v>51.7</v>
      </c>
      <c r="D167" s="10"/>
      <c r="E167" s="4">
        <v>2</v>
      </c>
      <c r="F167" s="5"/>
      <c r="G167" s="5"/>
      <c r="H167">
        <v>2</v>
      </c>
      <c r="I167" t="s">
        <v>28</v>
      </c>
      <c r="J167" s="2">
        <v>1</v>
      </c>
      <c r="K167">
        <v>3</v>
      </c>
      <c r="M167" s="2">
        <v>7.5</v>
      </c>
      <c r="N167">
        <v>2</v>
      </c>
      <c r="O167">
        <v>2</v>
      </c>
      <c r="P167">
        <v>2</v>
      </c>
      <c r="Q167">
        <v>1</v>
      </c>
      <c r="R167">
        <v>1</v>
      </c>
      <c r="S167">
        <v>1</v>
      </c>
      <c r="T167" s="3">
        <v>10</v>
      </c>
      <c r="U167" s="3">
        <v>8</v>
      </c>
      <c r="V167" s="13">
        <v>80</v>
      </c>
      <c r="W167" s="2">
        <v>3</v>
      </c>
      <c r="Y167" s="4"/>
      <c r="Z167">
        <v>3</v>
      </c>
      <c r="AA167">
        <v>2</v>
      </c>
      <c r="AB167">
        <v>1</v>
      </c>
      <c r="AC167" s="2">
        <v>1</v>
      </c>
      <c r="AD167" s="6">
        <v>0</v>
      </c>
      <c r="AE167" s="2">
        <v>3</v>
      </c>
      <c r="AF167" s="2">
        <v>4</v>
      </c>
      <c r="AH167" s="5"/>
      <c r="AI167" s="10"/>
      <c r="AJ167" s="35"/>
      <c r="AK167" s="2">
        <v>1</v>
      </c>
      <c r="AL167" s="3">
        <v>150</v>
      </c>
      <c r="AM167" s="26"/>
      <c r="AN167" s="29"/>
      <c r="AO167" s="39"/>
      <c r="AP167" s="28"/>
      <c r="AQ167" s="2">
        <v>12.2</v>
      </c>
      <c r="AR167" s="29">
        <v>0.01</v>
      </c>
      <c r="AS167" s="28">
        <v>70.7</v>
      </c>
      <c r="AT167" s="13">
        <v>1</v>
      </c>
      <c r="AU167" s="29">
        <v>14.9</v>
      </c>
      <c r="AV167" s="2">
        <v>4</v>
      </c>
      <c r="AW167" s="2">
        <v>4</v>
      </c>
    </row>
    <row r="168" spans="1:49" x14ac:dyDescent="0.2">
      <c r="A168" s="3">
        <v>330</v>
      </c>
      <c r="B168" t="s">
        <v>25</v>
      </c>
      <c r="C168" s="2">
        <v>44.9</v>
      </c>
      <c r="D168" s="4">
        <v>2</v>
      </c>
      <c r="E168" s="4">
        <v>2</v>
      </c>
      <c r="F168" s="5">
        <v>1</v>
      </c>
      <c r="G168" s="5">
        <v>33.1</v>
      </c>
      <c r="H168">
        <v>1</v>
      </c>
      <c r="I168" t="s">
        <v>28</v>
      </c>
      <c r="J168" s="2">
        <v>1</v>
      </c>
      <c r="K168">
        <v>1</v>
      </c>
      <c r="M168" s="2">
        <v>1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 s="1"/>
      <c r="U168" s="1"/>
      <c r="V168" s="13"/>
      <c r="W168" s="1"/>
      <c r="Y168" s="4">
        <v>2</v>
      </c>
      <c r="Z168">
        <v>1</v>
      </c>
      <c r="AA168">
        <v>0</v>
      </c>
      <c r="AB168">
        <v>1</v>
      </c>
      <c r="AC168" s="2">
        <v>1</v>
      </c>
      <c r="AD168" s="19"/>
      <c r="AE168" s="2">
        <v>2</v>
      </c>
      <c r="AF168" s="2">
        <v>2</v>
      </c>
      <c r="AH168" s="5"/>
      <c r="AI168" s="10"/>
      <c r="AJ168" s="35"/>
      <c r="AK168" s="2">
        <v>1</v>
      </c>
      <c r="AL168" s="3">
        <v>100</v>
      </c>
      <c r="AM168" s="26">
        <v>58</v>
      </c>
      <c r="AN168" s="29">
        <v>149</v>
      </c>
      <c r="AO168" s="38">
        <v>1</v>
      </c>
      <c r="AP168" s="34">
        <v>10</v>
      </c>
      <c r="AQ168" s="2">
        <v>169.7</v>
      </c>
      <c r="AR168" s="29">
        <v>0.01</v>
      </c>
      <c r="AS168" s="28">
        <v>1.2</v>
      </c>
      <c r="AT168" s="13">
        <v>1</v>
      </c>
      <c r="AU168" s="29">
        <v>20</v>
      </c>
      <c r="AV168" s="2">
        <v>2</v>
      </c>
      <c r="AW168" s="2">
        <v>2</v>
      </c>
    </row>
    <row r="169" spans="1:49" x14ac:dyDescent="0.2">
      <c r="A169" s="3">
        <v>83</v>
      </c>
      <c r="B169" t="s">
        <v>25</v>
      </c>
      <c r="C169" s="2">
        <v>35.9</v>
      </c>
      <c r="D169" s="4">
        <v>2</v>
      </c>
      <c r="E169" s="4">
        <v>2</v>
      </c>
      <c r="F169" s="5">
        <v>2</v>
      </c>
      <c r="G169" s="5">
        <v>32.299999999999997</v>
      </c>
      <c r="H169">
        <v>1</v>
      </c>
      <c r="I169" t="s">
        <v>26</v>
      </c>
      <c r="J169" s="2">
        <v>1</v>
      </c>
      <c r="K169">
        <v>3</v>
      </c>
      <c r="M169" s="2">
        <v>1.7</v>
      </c>
      <c r="N169">
        <v>1</v>
      </c>
      <c r="O169">
        <v>2</v>
      </c>
      <c r="P169">
        <v>2</v>
      </c>
      <c r="T169" s="1"/>
      <c r="U169" s="1"/>
      <c r="V169" s="13"/>
      <c r="W169" s="1"/>
      <c r="Y169" s="4">
        <v>2</v>
      </c>
      <c r="Z169">
        <v>1</v>
      </c>
      <c r="AA169">
        <v>3</v>
      </c>
      <c r="AB169">
        <v>1</v>
      </c>
      <c r="AC169" s="2">
        <v>1</v>
      </c>
      <c r="AD169" s="19"/>
      <c r="AE169" s="2">
        <v>1</v>
      </c>
      <c r="AF169" s="2">
        <v>1</v>
      </c>
      <c r="AH169" s="5"/>
      <c r="AI169" s="10"/>
      <c r="AK169" s="2">
        <v>1</v>
      </c>
      <c r="AL169" s="3">
        <v>100</v>
      </c>
      <c r="AM169" s="26">
        <v>59</v>
      </c>
      <c r="AN169" s="29"/>
      <c r="AO169" s="39"/>
      <c r="AP169" s="29"/>
      <c r="AQ169" s="2">
        <v>176.8</v>
      </c>
      <c r="AR169" s="29">
        <v>0.02</v>
      </c>
      <c r="AS169" s="28">
        <v>0.1</v>
      </c>
      <c r="AT169" s="13">
        <v>1</v>
      </c>
      <c r="AU169" s="29">
        <v>20</v>
      </c>
      <c r="AV169" s="2">
        <v>1</v>
      </c>
      <c r="AW169" s="2">
        <v>1</v>
      </c>
    </row>
    <row r="170" spans="1:49" x14ac:dyDescent="0.2">
      <c r="A170" s="3">
        <v>141</v>
      </c>
      <c r="B170" t="s">
        <v>25</v>
      </c>
      <c r="C170" s="2">
        <v>43.3</v>
      </c>
      <c r="D170" s="4">
        <v>2</v>
      </c>
      <c r="E170" s="4">
        <v>2</v>
      </c>
      <c r="F170" s="5">
        <v>1</v>
      </c>
      <c r="G170" s="5">
        <v>25.4</v>
      </c>
      <c r="H170">
        <v>1</v>
      </c>
      <c r="I170" t="s">
        <v>26</v>
      </c>
      <c r="J170" s="2">
        <v>2</v>
      </c>
      <c r="L170">
        <v>3</v>
      </c>
      <c r="M170" s="2">
        <v>3.5</v>
      </c>
      <c r="O170">
        <v>1</v>
      </c>
      <c r="P170">
        <v>1</v>
      </c>
      <c r="Q170">
        <v>1</v>
      </c>
      <c r="S170">
        <v>2</v>
      </c>
      <c r="T170" s="1"/>
      <c r="U170" s="1"/>
      <c r="V170" s="13"/>
      <c r="W170" s="1"/>
      <c r="Y170" s="4"/>
      <c r="Z170">
        <v>2</v>
      </c>
      <c r="AA170">
        <v>0</v>
      </c>
      <c r="AB170">
        <v>1</v>
      </c>
      <c r="AC170" s="2">
        <v>1</v>
      </c>
      <c r="AD170" s="19"/>
      <c r="AE170" s="2">
        <v>3</v>
      </c>
      <c r="AF170" s="2">
        <v>4</v>
      </c>
      <c r="AH170" s="5"/>
      <c r="AI170" s="10"/>
      <c r="AJ170" s="35"/>
      <c r="AK170" s="2">
        <v>1</v>
      </c>
      <c r="AL170" s="3">
        <v>100</v>
      </c>
      <c r="AM170" s="26">
        <v>60.78</v>
      </c>
      <c r="AN170" s="29">
        <v>9.91</v>
      </c>
      <c r="AO170" s="38">
        <v>1</v>
      </c>
      <c r="AP170" s="34">
        <v>10</v>
      </c>
      <c r="AQ170" s="2">
        <v>175.6</v>
      </c>
      <c r="AR170" s="29">
        <v>1.1100000000000001</v>
      </c>
      <c r="AS170" s="34">
        <v>0.1</v>
      </c>
      <c r="AT170" s="13">
        <v>1</v>
      </c>
      <c r="AU170" s="29">
        <v>0.9</v>
      </c>
      <c r="AV170" s="2">
        <v>1</v>
      </c>
      <c r="AW170" s="2">
        <v>1</v>
      </c>
    </row>
    <row r="171" spans="1:49" x14ac:dyDescent="0.2">
      <c r="A171" s="3">
        <v>121</v>
      </c>
      <c r="B171" t="s">
        <v>25</v>
      </c>
      <c r="C171" s="2">
        <v>54.9</v>
      </c>
      <c r="D171" s="6">
        <v>2</v>
      </c>
      <c r="E171" s="6">
        <v>2</v>
      </c>
      <c r="F171" s="7">
        <v>2</v>
      </c>
      <c r="G171" s="7">
        <v>30.9</v>
      </c>
      <c r="H171">
        <v>1</v>
      </c>
      <c r="I171" t="s">
        <v>28</v>
      </c>
      <c r="J171" s="2">
        <v>1</v>
      </c>
      <c r="K171">
        <v>1</v>
      </c>
      <c r="M171" s="2">
        <v>4.5</v>
      </c>
      <c r="N171">
        <v>2</v>
      </c>
      <c r="O171">
        <v>1</v>
      </c>
      <c r="P171">
        <v>1</v>
      </c>
      <c r="Q171">
        <v>2</v>
      </c>
      <c r="R171">
        <v>2</v>
      </c>
      <c r="S171">
        <v>2</v>
      </c>
      <c r="T171" s="1"/>
      <c r="U171" s="1"/>
      <c r="V171" s="14"/>
      <c r="W171" s="1"/>
      <c r="Y171" s="6">
        <v>1</v>
      </c>
      <c r="Z171">
        <v>3</v>
      </c>
      <c r="AA171">
        <v>3</v>
      </c>
      <c r="AB171">
        <v>1</v>
      </c>
      <c r="AC171" s="2">
        <v>1</v>
      </c>
      <c r="AD171" s="19"/>
      <c r="AE171" s="2">
        <v>2</v>
      </c>
      <c r="AF171" s="2">
        <v>4</v>
      </c>
      <c r="AG171" s="22"/>
      <c r="AH171" s="7"/>
      <c r="AI171" s="19"/>
      <c r="AJ171" s="36"/>
      <c r="AK171" s="2">
        <v>1</v>
      </c>
      <c r="AL171" s="3">
        <v>100</v>
      </c>
      <c r="AM171" s="26">
        <v>63.8</v>
      </c>
      <c r="AN171" s="32">
        <v>0.4</v>
      </c>
      <c r="AO171" s="40">
        <v>2</v>
      </c>
      <c r="AP171" s="31">
        <v>78</v>
      </c>
      <c r="AQ171" s="2">
        <v>191.1</v>
      </c>
      <c r="AR171" s="32">
        <v>3.89</v>
      </c>
      <c r="AS171" s="31">
        <f>0.1/2</f>
        <v>0.05</v>
      </c>
      <c r="AT171" s="14">
        <v>1</v>
      </c>
      <c r="AU171" s="32">
        <v>2.5</v>
      </c>
      <c r="AV171" s="2">
        <v>1</v>
      </c>
      <c r="AW171" s="2">
        <v>1</v>
      </c>
    </row>
    <row r="172" spans="1:49" x14ac:dyDescent="0.2">
      <c r="A172" s="3">
        <v>267</v>
      </c>
      <c r="B172" t="s">
        <v>25</v>
      </c>
      <c r="C172" s="2">
        <v>61.4</v>
      </c>
      <c r="D172" s="4">
        <v>2</v>
      </c>
      <c r="E172" s="4">
        <v>2</v>
      </c>
      <c r="F172" s="5"/>
      <c r="G172" s="5">
        <v>25.9</v>
      </c>
      <c r="H172">
        <v>2</v>
      </c>
      <c r="I172" t="s">
        <v>28</v>
      </c>
      <c r="J172" s="2">
        <v>1</v>
      </c>
      <c r="K172">
        <v>1</v>
      </c>
      <c r="M172" s="2">
        <v>3.6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 s="1"/>
      <c r="U172" s="1"/>
      <c r="V172" s="13"/>
      <c r="W172" s="1"/>
      <c r="Y172" s="4">
        <v>2</v>
      </c>
      <c r="Z172">
        <v>2</v>
      </c>
      <c r="AA172">
        <v>0</v>
      </c>
      <c r="AB172">
        <v>1</v>
      </c>
      <c r="AC172" s="2">
        <v>1</v>
      </c>
      <c r="AD172" s="19"/>
      <c r="AE172" s="2">
        <v>2</v>
      </c>
      <c r="AF172" s="2">
        <v>2</v>
      </c>
      <c r="AH172" s="5"/>
      <c r="AI172" s="10"/>
      <c r="AJ172" s="35"/>
      <c r="AK172" s="2">
        <v>1</v>
      </c>
      <c r="AL172" s="3">
        <v>100</v>
      </c>
      <c r="AM172" s="26">
        <v>66.400000000000006</v>
      </c>
      <c r="AN172" s="30">
        <v>0.1</v>
      </c>
      <c r="AO172" s="38">
        <v>1</v>
      </c>
      <c r="AP172" s="34">
        <v>10</v>
      </c>
      <c r="AQ172" s="2">
        <v>53.3</v>
      </c>
      <c r="AR172" s="29">
        <v>3.9</v>
      </c>
      <c r="AS172" s="28">
        <v>0.1</v>
      </c>
      <c r="AT172" s="13">
        <v>1</v>
      </c>
      <c r="AU172" s="29">
        <v>20</v>
      </c>
      <c r="AV172" s="2">
        <v>1</v>
      </c>
      <c r="AW172" s="2">
        <v>1</v>
      </c>
    </row>
    <row r="173" spans="1:49" x14ac:dyDescent="0.2">
      <c r="A173" s="3">
        <v>182</v>
      </c>
      <c r="B173" t="s">
        <v>25</v>
      </c>
      <c r="C173" s="2">
        <v>32.299999999999997</v>
      </c>
      <c r="D173" s="4">
        <v>2</v>
      </c>
      <c r="E173" s="4">
        <v>2</v>
      </c>
      <c r="F173" s="5">
        <v>1</v>
      </c>
      <c r="G173" s="5">
        <v>29.9</v>
      </c>
      <c r="H173">
        <v>1</v>
      </c>
      <c r="I173" t="s">
        <v>26</v>
      </c>
      <c r="J173" s="2">
        <v>1</v>
      </c>
      <c r="K173">
        <v>1</v>
      </c>
      <c r="M173" s="2">
        <v>1.5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 s="1"/>
      <c r="U173" s="1"/>
      <c r="V173" s="13"/>
      <c r="W173" s="1"/>
      <c r="Y173" s="4">
        <v>2</v>
      </c>
      <c r="Z173">
        <v>1</v>
      </c>
      <c r="AA173">
        <v>0</v>
      </c>
      <c r="AB173">
        <v>1</v>
      </c>
      <c r="AC173" s="2">
        <v>1</v>
      </c>
      <c r="AD173" s="19"/>
      <c r="AE173" s="2">
        <v>2</v>
      </c>
      <c r="AF173" s="2">
        <v>2</v>
      </c>
      <c r="AH173" s="5"/>
      <c r="AI173" s="10"/>
      <c r="AJ173" s="35"/>
      <c r="AK173" s="2">
        <v>1</v>
      </c>
      <c r="AL173" s="3">
        <v>30</v>
      </c>
      <c r="AM173" s="26">
        <v>68.33</v>
      </c>
      <c r="AN173" s="29">
        <v>11.3</v>
      </c>
      <c r="AO173" s="38">
        <v>1</v>
      </c>
      <c r="AP173" s="34">
        <v>10</v>
      </c>
      <c r="AQ173" s="2">
        <v>232.2</v>
      </c>
      <c r="AR173" s="29">
        <v>0.84</v>
      </c>
      <c r="AS173" s="34">
        <f>0.1/2</f>
        <v>0.05</v>
      </c>
      <c r="AT173" s="13">
        <v>1</v>
      </c>
      <c r="AU173" s="29">
        <v>1.3</v>
      </c>
      <c r="AV173" s="2">
        <v>1</v>
      </c>
      <c r="AW173" s="2">
        <v>1</v>
      </c>
    </row>
    <row r="174" spans="1:49" x14ac:dyDescent="0.2">
      <c r="A174" s="3">
        <v>356</v>
      </c>
      <c r="B174" t="s">
        <v>25</v>
      </c>
      <c r="C174" s="2">
        <v>69.400000000000006</v>
      </c>
      <c r="D174" s="4">
        <v>2</v>
      </c>
      <c r="E174" s="4">
        <v>2</v>
      </c>
      <c r="F174" s="5">
        <v>1</v>
      </c>
      <c r="G174" s="5">
        <v>27.9</v>
      </c>
      <c r="H174">
        <v>1</v>
      </c>
      <c r="I174" t="s">
        <v>26</v>
      </c>
      <c r="J174" s="2">
        <v>3</v>
      </c>
      <c r="M174" s="2">
        <v>8</v>
      </c>
      <c r="N174">
        <v>1</v>
      </c>
      <c r="O174">
        <v>2</v>
      </c>
      <c r="P174">
        <v>2</v>
      </c>
      <c r="Q174">
        <v>2</v>
      </c>
      <c r="R174">
        <v>2</v>
      </c>
      <c r="T174" s="1"/>
      <c r="U174" s="1"/>
      <c r="V174" s="13"/>
      <c r="W174" s="1"/>
      <c r="Y174" s="4">
        <v>2</v>
      </c>
      <c r="Z174">
        <v>3</v>
      </c>
      <c r="AA174">
        <v>3</v>
      </c>
      <c r="AB174">
        <v>1</v>
      </c>
      <c r="AC174" s="2">
        <v>2</v>
      </c>
      <c r="AD174" s="19"/>
      <c r="AE174" s="2">
        <v>1</v>
      </c>
      <c r="AF174" s="2">
        <v>2</v>
      </c>
      <c r="AH174" s="5"/>
      <c r="AI174" s="10"/>
      <c r="AJ174" s="35"/>
      <c r="AK174" s="2">
        <v>1</v>
      </c>
      <c r="AL174" s="3">
        <v>150</v>
      </c>
      <c r="AM174" s="26">
        <v>70</v>
      </c>
      <c r="AN174" s="28">
        <v>14.2</v>
      </c>
      <c r="AO174" s="38">
        <v>1</v>
      </c>
      <c r="AP174" s="28">
        <v>30</v>
      </c>
      <c r="AQ174" s="2">
        <v>182.4</v>
      </c>
      <c r="AR174" s="29">
        <v>3.9</v>
      </c>
      <c r="AS174" s="34">
        <v>0.1</v>
      </c>
      <c r="AT174" s="13">
        <v>1</v>
      </c>
      <c r="AU174" s="29">
        <v>20</v>
      </c>
      <c r="AV174" s="2">
        <v>1</v>
      </c>
      <c r="AW174" s="2">
        <v>1</v>
      </c>
    </row>
    <row r="175" spans="1:49" x14ac:dyDescent="0.2">
      <c r="A175" s="3">
        <v>456</v>
      </c>
      <c r="B175" t="s">
        <v>27</v>
      </c>
      <c r="C175" s="2">
        <v>46.1</v>
      </c>
      <c r="D175" s="4">
        <v>2</v>
      </c>
      <c r="E175" s="4">
        <v>2</v>
      </c>
      <c r="F175" s="5"/>
      <c r="G175" s="5"/>
      <c r="H175">
        <v>2</v>
      </c>
      <c r="I175" t="s">
        <v>28</v>
      </c>
      <c r="J175" s="2">
        <v>1</v>
      </c>
      <c r="K175">
        <v>1</v>
      </c>
      <c r="M175" s="2">
        <v>3.3</v>
      </c>
      <c r="N175">
        <v>2</v>
      </c>
      <c r="O175">
        <v>1</v>
      </c>
      <c r="P175">
        <v>1</v>
      </c>
      <c r="Q175">
        <v>1</v>
      </c>
      <c r="R175">
        <v>2</v>
      </c>
      <c r="S175">
        <v>1</v>
      </c>
      <c r="T175" s="3">
        <v>34</v>
      </c>
      <c r="U175" s="3">
        <v>15</v>
      </c>
      <c r="V175" s="13">
        <v>44.12</v>
      </c>
      <c r="W175" s="2">
        <v>1.4</v>
      </c>
      <c r="X175">
        <v>1</v>
      </c>
      <c r="Y175" s="4">
        <v>2</v>
      </c>
      <c r="Z175">
        <v>2</v>
      </c>
      <c r="AA175">
        <v>2</v>
      </c>
      <c r="AB175">
        <v>1</v>
      </c>
      <c r="AC175" s="2">
        <v>1</v>
      </c>
      <c r="AD175" s="6">
        <v>1</v>
      </c>
      <c r="AE175" s="2">
        <v>2</v>
      </c>
      <c r="AF175" s="2">
        <v>4</v>
      </c>
      <c r="AH175" s="9"/>
      <c r="AI175" s="10"/>
      <c r="AJ175" s="35"/>
      <c r="AK175" s="2">
        <v>1</v>
      </c>
      <c r="AL175" s="3">
        <v>100</v>
      </c>
      <c r="AM175" s="26"/>
      <c r="AN175" s="29"/>
      <c r="AO175" s="39"/>
      <c r="AP175" s="28"/>
      <c r="AQ175" s="2">
        <v>12.4</v>
      </c>
      <c r="AR175" s="29" t="s">
        <v>32</v>
      </c>
      <c r="AS175" s="28">
        <v>0.4</v>
      </c>
      <c r="AT175" s="13">
        <v>1</v>
      </c>
      <c r="AU175" s="29">
        <v>16</v>
      </c>
      <c r="AV175" s="2">
        <v>2</v>
      </c>
      <c r="AW175" s="2">
        <v>2</v>
      </c>
    </row>
    <row r="176" spans="1:49" x14ac:dyDescent="0.2">
      <c r="A176" s="3">
        <v>288</v>
      </c>
      <c r="B176" t="s">
        <v>25</v>
      </c>
      <c r="C176" s="2">
        <v>55.6</v>
      </c>
      <c r="D176" s="4">
        <v>2</v>
      </c>
      <c r="E176" s="4">
        <v>2</v>
      </c>
      <c r="F176" s="5">
        <v>1</v>
      </c>
      <c r="G176" s="5">
        <v>27.5</v>
      </c>
      <c r="H176">
        <v>2</v>
      </c>
      <c r="I176" t="s">
        <v>26</v>
      </c>
      <c r="J176" s="2">
        <v>1</v>
      </c>
      <c r="K176">
        <v>10</v>
      </c>
      <c r="M176" s="2">
        <v>1.1000000000000001</v>
      </c>
      <c r="N176">
        <v>1</v>
      </c>
      <c r="O176">
        <v>1</v>
      </c>
      <c r="P176">
        <v>2</v>
      </c>
      <c r="Q176">
        <v>2</v>
      </c>
      <c r="R176">
        <v>2</v>
      </c>
      <c r="S176">
        <v>2</v>
      </c>
      <c r="T176" s="1"/>
      <c r="U176" s="1"/>
      <c r="V176" s="13"/>
      <c r="W176" s="1"/>
      <c r="Y176" s="4">
        <v>1</v>
      </c>
      <c r="Z176">
        <v>1</v>
      </c>
      <c r="AA176">
        <v>0</v>
      </c>
      <c r="AB176">
        <v>1</v>
      </c>
      <c r="AC176" s="2">
        <v>1</v>
      </c>
      <c r="AD176" s="19"/>
      <c r="AE176" s="2">
        <v>1</v>
      </c>
      <c r="AF176" s="2">
        <v>2</v>
      </c>
      <c r="AH176" s="5"/>
      <c r="AI176" s="10"/>
      <c r="AJ176" s="35"/>
      <c r="AK176" s="2">
        <v>1</v>
      </c>
      <c r="AL176" s="3">
        <v>100</v>
      </c>
      <c r="AM176" s="26">
        <v>71</v>
      </c>
      <c r="AN176" s="30">
        <v>0.1</v>
      </c>
      <c r="AO176" s="38">
        <v>1</v>
      </c>
      <c r="AP176" s="34">
        <v>10</v>
      </c>
      <c r="AQ176" s="2">
        <v>134.19999999999999</v>
      </c>
      <c r="AR176" s="29">
        <v>2.08</v>
      </c>
      <c r="AS176" s="34">
        <f>0.1/2</f>
        <v>0.05</v>
      </c>
      <c r="AT176" s="13">
        <v>1</v>
      </c>
      <c r="AU176" s="29">
        <v>20</v>
      </c>
      <c r="AV176" s="2">
        <v>1</v>
      </c>
      <c r="AW176" s="2">
        <v>1</v>
      </c>
    </row>
    <row r="177" spans="1:49" x14ac:dyDescent="0.2">
      <c r="A177" s="3">
        <v>79</v>
      </c>
      <c r="B177" t="s">
        <v>25</v>
      </c>
      <c r="C177" s="2">
        <v>39.200000000000003</v>
      </c>
      <c r="D177" s="4">
        <v>2</v>
      </c>
      <c r="E177" s="4">
        <v>2</v>
      </c>
      <c r="F177" s="5">
        <v>1</v>
      </c>
      <c r="G177" s="5">
        <v>23.6</v>
      </c>
      <c r="H177">
        <v>1</v>
      </c>
      <c r="I177" t="s">
        <v>26</v>
      </c>
      <c r="J177" s="2">
        <v>1</v>
      </c>
      <c r="K177">
        <v>3</v>
      </c>
      <c r="M177" s="2">
        <v>4.5</v>
      </c>
      <c r="N177">
        <v>1</v>
      </c>
      <c r="O177">
        <v>2</v>
      </c>
      <c r="P177">
        <v>2</v>
      </c>
      <c r="Q177">
        <v>2</v>
      </c>
      <c r="R177">
        <v>2</v>
      </c>
      <c r="T177" s="1"/>
      <c r="U177" s="1"/>
      <c r="V177" s="13"/>
      <c r="W177" s="1"/>
      <c r="Y177" s="4">
        <v>2</v>
      </c>
      <c r="Z177">
        <v>3</v>
      </c>
      <c r="AA177">
        <v>3</v>
      </c>
      <c r="AB177">
        <v>1</v>
      </c>
      <c r="AC177" s="2">
        <v>1</v>
      </c>
      <c r="AD177" s="19"/>
      <c r="AE177" s="2">
        <v>1</v>
      </c>
      <c r="AF177" s="2">
        <v>2</v>
      </c>
      <c r="AH177" s="5"/>
      <c r="AI177" s="10"/>
      <c r="AJ177" s="35"/>
      <c r="AK177" s="2">
        <v>1</v>
      </c>
      <c r="AL177" s="3">
        <v>100</v>
      </c>
      <c r="AM177" s="26">
        <v>71</v>
      </c>
      <c r="AN177" s="29">
        <v>4.01</v>
      </c>
      <c r="AO177" s="38">
        <v>1</v>
      </c>
      <c r="AP177" s="28"/>
      <c r="AQ177" s="2">
        <v>180.9</v>
      </c>
      <c r="AR177" s="29">
        <v>1.22</v>
      </c>
      <c r="AS177" s="34">
        <f>0.1/2</f>
        <v>0.05</v>
      </c>
      <c r="AT177" s="13">
        <v>1</v>
      </c>
      <c r="AU177" s="29">
        <v>1.3</v>
      </c>
      <c r="AV177" s="2">
        <v>1</v>
      </c>
      <c r="AW177" s="2">
        <v>1</v>
      </c>
    </row>
    <row r="178" spans="1:49" x14ac:dyDescent="0.2">
      <c r="A178" s="3">
        <v>144</v>
      </c>
      <c r="B178" t="s">
        <v>25</v>
      </c>
      <c r="C178" s="2">
        <v>33.6</v>
      </c>
      <c r="D178" s="4">
        <v>2</v>
      </c>
      <c r="E178" s="4">
        <v>2</v>
      </c>
      <c r="F178" s="5"/>
      <c r="G178" s="5">
        <v>26.1</v>
      </c>
      <c r="H178">
        <v>1</v>
      </c>
      <c r="I178" t="s">
        <v>26</v>
      </c>
      <c r="J178" s="2">
        <v>1</v>
      </c>
      <c r="K178">
        <v>3</v>
      </c>
      <c r="M178" s="2">
        <v>3</v>
      </c>
      <c r="N178">
        <v>1</v>
      </c>
      <c r="O178">
        <v>2</v>
      </c>
      <c r="P178">
        <v>2</v>
      </c>
      <c r="Q178">
        <v>2</v>
      </c>
      <c r="R178">
        <v>2</v>
      </c>
      <c r="T178" s="1"/>
      <c r="U178" s="1"/>
      <c r="V178" s="13"/>
      <c r="W178" s="1"/>
      <c r="Y178" s="4">
        <v>2</v>
      </c>
      <c r="Z178">
        <v>2</v>
      </c>
      <c r="AA178">
        <v>3</v>
      </c>
      <c r="AB178">
        <v>1</v>
      </c>
      <c r="AC178" s="2">
        <v>1</v>
      </c>
      <c r="AD178" s="19"/>
      <c r="AE178" s="2">
        <v>1</v>
      </c>
      <c r="AF178" s="2">
        <v>1</v>
      </c>
      <c r="AH178" s="5"/>
      <c r="AI178" s="10"/>
      <c r="AJ178" s="35"/>
      <c r="AK178" s="2">
        <v>1</v>
      </c>
      <c r="AL178" s="3">
        <v>100</v>
      </c>
      <c r="AM178" s="26">
        <v>71.5</v>
      </c>
      <c r="AN178" s="29">
        <v>16.23</v>
      </c>
      <c r="AO178" s="38">
        <v>1</v>
      </c>
      <c r="AP178" s="34">
        <v>10</v>
      </c>
      <c r="AQ178" s="2">
        <v>144.9</v>
      </c>
      <c r="AR178" s="29">
        <v>0.01</v>
      </c>
      <c r="AS178" s="28">
        <v>1.9</v>
      </c>
      <c r="AT178" s="13">
        <v>1</v>
      </c>
      <c r="AU178" s="29">
        <v>20</v>
      </c>
      <c r="AV178" s="2">
        <v>2</v>
      </c>
      <c r="AW178" s="2">
        <v>2</v>
      </c>
    </row>
    <row r="179" spans="1:49" x14ac:dyDescent="0.2">
      <c r="A179" s="3">
        <v>227</v>
      </c>
      <c r="B179" t="s">
        <v>25</v>
      </c>
      <c r="C179" s="2">
        <v>61</v>
      </c>
      <c r="D179" s="4">
        <v>2</v>
      </c>
      <c r="E179" s="4">
        <v>2</v>
      </c>
      <c r="F179" s="5">
        <v>3</v>
      </c>
      <c r="G179" s="5">
        <v>26.9</v>
      </c>
      <c r="H179">
        <v>1</v>
      </c>
      <c r="I179" t="s">
        <v>26</v>
      </c>
      <c r="J179" s="2">
        <v>1</v>
      </c>
      <c r="K179">
        <v>3</v>
      </c>
      <c r="M179" s="2">
        <v>2</v>
      </c>
      <c r="N179">
        <v>1</v>
      </c>
      <c r="O179">
        <v>2</v>
      </c>
      <c r="P179">
        <v>2</v>
      </c>
      <c r="Q179">
        <v>2</v>
      </c>
      <c r="R179">
        <v>2</v>
      </c>
      <c r="S179">
        <v>2</v>
      </c>
      <c r="T179" s="1"/>
      <c r="U179" s="1"/>
      <c r="V179" s="15"/>
      <c r="W179" s="1"/>
      <c r="Y179" s="4">
        <v>1</v>
      </c>
      <c r="Z179">
        <v>1</v>
      </c>
      <c r="AA179">
        <v>0</v>
      </c>
      <c r="AB179">
        <v>1</v>
      </c>
      <c r="AC179" s="2">
        <v>1</v>
      </c>
      <c r="AD179" s="19"/>
      <c r="AE179" s="2">
        <v>1</v>
      </c>
      <c r="AF179" s="2">
        <v>1</v>
      </c>
      <c r="AH179" s="5"/>
      <c r="AI179" s="10"/>
      <c r="AJ179" s="35"/>
      <c r="AK179" s="2">
        <v>1</v>
      </c>
      <c r="AL179" s="3">
        <v>100</v>
      </c>
      <c r="AM179" s="26">
        <v>72</v>
      </c>
      <c r="AN179" s="29">
        <v>0.15</v>
      </c>
      <c r="AO179" s="38">
        <v>1</v>
      </c>
      <c r="AP179" s="28">
        <v>40</v>
      </c>
      <c r="AQ179" s="2">
        <v>144.6</v>
      </c>
      <c r="AR179" s="29">
        <v>4.46</v>
      </c>
      <c r="AS179" s="28">
        <v>0.1</v>
      </c>
      <c r="AT179" s="13">
        <v>1</v>
      </c>
      <c r="AU179" s="29">
        <v>20</v>
      </c>
      <c r="AV179" s="2">
        <v>1</v>
      </c>
      <c r="AW179" s="2">
        <v>1</v>
      </c>
    </row>
    <row r="180" spans="1:49" x14ac:dyDescent="0.2">
      <c r="A180" s="3">
        <v>333</v>
      </c>
      <c r="B180" t="s">
        <v>25</v>
      </c>
      <c r="C180" s="2">
        <v>39.700000000000003</v>
      </c>
      <c r="D180" s="6">
        <v>2</v>
      </c>
      <c r="E180" s="6">
        <v>2</v>
      </c>
      <c r="F180" s="7">
        <v>1</v>
      </c>
      <c r="G180" s="7">
        <v>27.1</v>
      </c>
      <c r="H180">
        <v>1</v>
      </c>
      <c r="I180" t="s">
        <v>26</v>
      </c>
      <c r="J180" s="2">
        <v>1</v>
      </c>
      <c r="M180" s="2">
        <v>1.9</v>
      </c>
      <c r="N180">
        <v>1</v>
      </c>
      <c r="O180">
        <v>2</v>
      </c>
      <c r="P180">
        <v>2</v>
      </c>
      <c r="Q180">
        <v>2</v>
      </c>
      <c r="R180">
        <v>2</v>
      </c>
      <c r="S180">
        <v>2</v>
      </c>
      <c r="T180" s="1"/>
      <c r="U180" s="1"/>
      <c r="V180" s="14"/>
      <c r="W180" s="1"/>
      <c r="Y180" s="6"/>
      <c r="Z180">
        <v>1</v>
      </c>
      <c r="AA180">
        <v>0</v>
      </c>
      <c r="AB180">
        <v>1</v>
      </c>
      <c r="AC180" s="2">
        <v>1</v>
      </c>
      <c r="AD180" s="19"/>
      <c r="AE180" s="2">
        <v>1</v>
      </c>
      <c r="AF180" s="2">
        <v>1</v>
      </c>
      <c r="AG180" s="22"/>
      <c r="AH180" s="7"/>
      <c r="AI180" s="19"/>
      <c r="AJ180" s="36"/>
      <c r="AK180" s="2">
        <v>1</v>
      </c>
      <c r="AL180" s="3">
        <v>30</v>
      </c>
      <c r="AM180" s="26">
        <v>72</v>
      </c>
      <c r="AN180" s="32">
        <v>2.5</v>
      </c>
      <c r="AO180" s="40">
        <v>1</v>
      </c>
      <c r="AP180" s="31"/>
      <c r="AQ180" s="2">
        <v>242.4</v>
      </c>
      <c r="AR180" s="32">
        <v>0.81</v>
      </c>
      <c r="AS180" s="31">
        <v>0.1</v>
      </c>
      <c r="AT180" s="14">
        <v>1</v>
      </c>
      <c r="AU180" s="29">
        <v>20</v>
      </c>
      <c r="AV180" s="2">
        <v>1</v>
      </c>
      <c r="AW180" s="2">
        <v>1</v>
      </c>
    </row>
    <row r="181" spans="1:49" x14ac:dyDescent="0.2">
      <c r="A181" s="3">
        <v>361</v>
      </c>
      <c r="B181" t="s">
        <v>25</v>
      </c>
      <c r="C181" s="2">
        <v>31</v>
      </c>
      <c r="D181" s="4">
        <v>2</v>
      </c>
      <c r="E181" s="4">
        <v>2</v>
      </c>
      <c r="F181" s="5"/>
      <c r="G181" s="5">
        <v>24.7</v>
      </c>
      <c r="H181">
        <v>1</v>
      </c>
      <c r="I181" t="s">
        <v>26</v>
      </c>
      <c r="J181" s="2">
        <v>1</v>
      </c>
      <c r="K181">
        <v>4</v>
      </c>
      <c r="M181" s="2">
        <v>2.9</v>
      </c>
      <c r="N181">
        <v>2</v>
      </c>
      <c r="O181">
        <v>2</v>
      </c>
      <c r="P181">
        <v>2</v>
      </c>
      <c r="Q181">
        <v>1</v>
      </c>
      <c r="R181">
        <v>2</v>
      </c>
      <c r="T181" s="1"/>
      <c r="U181" s="1"/>
      <c r="V181" s="13"/>
      <c r="W181" s="1"/>
      <c r="Y181" s="4">
        <v>2</v>
      </c>
      <c r="Z181">
        <v>2</v>
      </c>
      <c r="AA181">
        <v>3</v>
      </c>
      <c r="AB181">
        <v>1</v>
      </c>
      <c r="AC181" s="2">
        <v>1</v>
      </c>
      <c r="AD181" s="19"/>
      <c r="AE181" s="2">
        <v>2</v>
      </c>
      <c r="AF181" s="2">
        <v>3</v>
      </c>
      <c r="AH181" s="9"/>
      <c r="AI181" s="10"/>
      <c r="AJ181" s="35"/>
      <c r="AK181" s="2">
        <v>1</v>
      </c>
      <c r="AL181" s="3">
        <v>150</v>
      </c>
      <c r="AM181" s="26">
        <v>72</v>
      </c>
      <c r="AN181" s="29">
        <v>9.9</v>
      </c>
      <c r="AO181" s="38">
        <v>1</v>
      </c>
      <c r="AP181" s="34">
        <v>10</v>
      </c>
      <c r="AQ181" s="2">
        <v>48.1</v>
      </c>
      <c r="AR181" s="29">
        <v>0.01</v>
      </c>
      <c r="AS181" s="28">
        <v>0.1</v>
      </c>
      <c r="AT181" s="13">
        <v>1</v>
      </c>
      <c r="AU181" s="29">
        <v>20</v>
      </c>
      <c r="AV181" s="2">
        <v>1</v>
      </c>
      <c r="AW181" s="2">
        <v>1</v>
      </c>
    </row>
    <row r="182" spans="1:49" x14ac:dyDescent="0.2">
      <c r="A182" s="3">
        <v>255</v>
      </c>
      <c r="B182" t="s">
        <v>25</v>
      </c>
      <c r="C182" s="2">
        <v>36.200000000000003</v>
      </c>
      <c r="D182" s="4">
        <v>2</v>
      </c>
      <c r="E182" s="4">
        <v>2</v>
      </c>
      <c r="F182" s="5">
        <v>3</v>
      </c>
      <c r="G182" s="5">
        <v>34.9</v>
      </c>
      <c r="H182">
        <v>1</v>
      </c>
      <c r="I182" t="s">
        <v>26</v>
      </c>
      <c r="J182" s="2">
        <v>1</v>
      </c>
      <c r="K182">
        <v>1</v>
      </c>
      <c r="M182" s="2">
        <v>0.6</v>
      </c>
      <c r="N182">
        <v>1</v>
      </c>
      <c r="O182">
        <v>2</v>
      </c>
      <c r="P182">
        <v>2</v>
      </c>
      <c r="Q182">
        <v>1</v>
      </c>
      <c r="R182">
        <v>2</v>
      </c>
      <c r="S182">
        <v>2</v>
      </c>
      <c r="T182" s="1"/>
      <c r="U182" s="1"/>
      <c r="V182" s="13"/>
      <c r="W182" s="1"/>
      <c r="Y182" s="4">
        <v>2</v>
      </c>
      <c r="Z182">
        <v>1</v>
      </c>
      <c r="AA182">
        <v>0</v>
      </c>
      <c r="AB182">
        <v>1</v>
      </c>
      <c r="AC182" s="2">
        <v>1</v>
      </c>
      <c r="AD182" s="19"/>
      <c r="AE182" s="2">
        <v>2</v>
      </c>
      <c r="AF182" s="2">
        <v>3</v>
      </c>
      <c r="AH182" s="5"/>
      <c r="AI182" s="10"/>
      <c r="AJ182" s="35"/>
      <c r="AK182" s="2">
        <v>1</v>
      </c>
      <c r="AL182" s="3">
        <v>30</v>
      </c>
      <c r="AM182" s="26">
        <v>73</v>
      </c>
      <c r="AN182" s="29">
        <v>9.44</v>
      </c>
      <c r="AO182" s="38">
        <v>1</v>
      </c>
      <c r="AP182" s="34">
        <v>10</v>
      </c>
      <c r="AQ182" s="2">
        <v>89.7</v>
      </c>
      <c r="AR182" s="29">
        <v>1.88</v>
      </c>
      <c r="AS182" s="34">
        <f>0.1/2</f>
        <v>0.05</v>
      </c>
      <c r="AT182" s="13">
        <v>1</v>
      </c>
      <c r="AU182" s="29">
        <v>1.3</v>
      </c>
      <c r="AV182" s="2">
        <v>1</v>
      </c>
      <c r="AW182" s="2">
        <v>1</v>
      </c>
    </row>
    <row r="183" spans="1:49" x14ac:dyDescent="0.2">
      <c r="A183" s="3">
        <v>316</v>
      </c>
      <c r="B183" t="s">
        <v>25</v>
      </c>
      <c r="C183" s="2">
        <v>50.9</v>
      </c>
      <c r="D183" s="4">
        <v>2</v>
      </c>
      <c r="E183" s="4">
        <v>2</v>
      </c>
      <c r="F183" s="5"/>
      <c r="G183" s="5">
        <v>30.5</v>
      </c>
      <c r="H183">
        <v>1</v>
      </c>
      <c r="I183" t="s">
        <v>26</v>
      </c>
      <c r="J183" s="2">
        <v>1</v>
      </c>
      <c r="K183">
        <v>3</v>
      </c>
      <c r="M183" s="2">
        <v>1.1000000000000001</v>
      </c>
      <c r="N183">
        <v>1</v>
      </c>
      <c r="O183">
        <v>2</v>
      </c>
      <c r="P183">
        <v>2</v>
      </c>
      <c r="Q183">
        <v>2</v>
      </c>
      <c r="R183">
        <v>2</v>
      </c>
      <c r="S183">
        <v>2</v>
      </c>
      <c r="T183" s="1"/>
      <c r="U183" s="1"/>
      <c r="V183" s="15"/>
      <c r="W183" s="1"/>
      <c r="Y183" s="4">
        <v>2</v>
      </c>
      <c r="Z183">
        <v>1</v>
      </c>
      <c r="AA183">
        <v>0</v>
      </c>
      <c r="AB183">
        <v>1</v>
      </c>
      <c r="AC183" s="2">
        <v>1</v>
      </c>
      <c r="AD183" s="19"/>
      <c r="AE183" s="2">
        <v>1</v>
      </c>
      <c r="AF183" s="2">
        <v>1</v>
      </c>
      <c r="AH183" s="5"/>
      <c r="AI183" s="10"/>
      <c r="AJ183" s="35"/>
      <c r="AK183" s="2">
        <v>1</v>
      </c>
      <c r="AL183" s="3">
        <v>100</v>
      </c>
      <c r="AM183" s="26">
        <v>76</v>
      </c>
      <c r="AN183" s="29">
        <v>3.06</v>
      </c>
      <c r="AO183" s="38">
        <v>1</v>
      </c>
      <c r="AP183" s="34">
        <v>10</v>
      </c>
      <c r="AQ183" s="2">
        <v>102.2</v>
      </c>
      <c r="AR183" s="29">
        <v>1.19</v>
      </c>
      <c r="AS183" s="28">
        <v>0.1</v>
      </c>
      <c r="AT183" s="13">
        <v>1</v>
      </c>
      <c r="AU183" s="29">
        <v>20</v>
      </c>
      <c r="AV183" s="2">
        <v>1</v>
      </c>
      <c r="AW183" s="2">
        <v>1</v>
      </c>
    </row>
    <row r="184" spans="1:49" x14ac:dyDescent="0.2">
      <c r="A184" s="3">
        <v>245</v>
      </c>
      <c r="B184" t="s">
        <v>25</v>
      </c>
      <c r="C184" s="2">
        <v>56.1</v>
      </c>
      <c r="D184" s="4">
        <v>2</v>
      </c>
      <c r="E184" s="4">
        <v>1</v>
      </c>
      <c r="F184" s="5">
        <v>1</v>
      </c>
      <c r="G184" s="5">
        <v>24.2</v>
      </c>
      <c r="H184">
        <v>1</v>
      </c>
      <c r="I184" t="s">
        <v>26</v>
      </c>
      <c r="J184" s="2">
        <v>1</v>
      </c>
      <c r="K184">
        <v>3</v>
      </c>
      <c r="M184" s="2">
        <v>0.7</v>
      </c>
      <c r="N184">
        <v>2</v>
      </c>
      <c r="O184">
        <v>1</v>
      </c>
      <c r="P184">
        <v>1</v>
      </c>
      <c r="Q184">
        <v>2</v>
      </c>
      <c r="R184">
        <v>2</v>
      </c>
      <c r="S184">
        <v>2</v>
      </c>
      <c r="T184" s="1"/>
      <c r="U184" s="1"/>
      <c r="V184" s="13"/>
      <c r="W184" s="1"/>
      <c r="Y184" s="4"/>
      <c r="Z184">
        <v>1</v>
      </c>
      <c r="AA184">
        <v>0</v>
      </c>
      <c r="AB184">
        <v>1</v>
      </c>
      <c r="AC184" s="2">
        <v>1</v>
      </c>
      <c r="AD184" s="19"/>
      <c r="AE184" s="2">
        <v>2</v>
      </c>
      <c r="AF184" s="2">
        <v>3</v>
      </c>
      <c r="AH184" s="9"/>
      <c r="AI184" s="10"/>
      <c r="AJ184" s="35"/>
      <c r="AK184" s="2">
        <v>1</v>
      </c>
      <c r="AL184" s="3">
        <v>100</v>
      </c>
      <c r="AM184" s="26">
        <v>77</v>
      </c>
      <c r="AN184" s="29">
        <v>2.64</v>
      </c>
      <c r="AO184" s="38">
        <v>1</v>
      </c>
      <c r="AP184" s="34">
        <v>10</v>
      </c>
      <c r="AQ184" s="2">
        <v>142.69999999999999</v>
      </c>
      <c r="AR184" s="29">
        <v>0.63</v>
      </c>
      <c r="AS184" s="28">
        <v>0.1</v>
      </c>
      <c r="AT184" s="13">
        <v>1</v>
      </c>
      <c r="AU184" s="29">
        <v>1.3</v>
      </c>
      <c r="AV184" s="2">
        <v>1</v>
      </c>
      <c r="AW184" s="2">
        <v>1</v>
      </c>
    </row>
    <row r="185" spans="1:49" x14ac:dyDescent="0.2">
      <c r="A185" s="3">
        <v>490</v>
      </c>
      <c r="B185" t="s">
        <v>25</v>
      </c>
      <c r="C185" s="2">
        <v>53.2</v>
      </c>
      <c r="D185" s="10"/>
      <c r="E185" s="4">
        <v>2</v>
      </c>
      <c r="F185" s="5"/>
      <c r="G185" s="5"/>
      <c r="H185">
        <v>1</v>
      </c>
      <c r="I185" t="s">
        <v>26</v>
      </c>
      <c r="J185" s="2">
        <v>1</v>
      </c>
      <c r="K185">
        <v>1</v>
      </c>
      <c r="M185" s="2">
        <v>4</v>
      </c>
      <c r="N185">
        <v>2</v>
      </c>
      <c r="O185">
        <v>1</v>
      </c>
      <c r="P185">
        <v>1</v>
      </c>
      <c r="T185" s="1"/>
      <c r="U185" s="1"/>
      <c r="V185" s="13"/>
      <c r="W185" s="1"/>
      <c r="Y185" s="4">
        <v>1</v>
      </c>
      <c r="Z185">
        <v>2</v>
      </c>
      <c r="AA185">
        <v>3</v>
      </c>
      <c r="AB185">
        <v>1</v>
      </c>
      <c r="AC185" s="2">
        <v>1</v>
      </c>
      <c r="AD185" s="19"/>
      <c r="AE185" s="2">
        <v>2</v>
      </c>
      <c r="AF185" s="2">
        <v>3</v>
      </c>
      <c r="AH185" s="5"/>
      <c r="AI185" s="10"/>
      <c r="AJ185" s="35"/>
      <c r="AK185" s="2">
        <v>1</v>
      </c>
      <c r="AL185" s="3">
        <v>100</v>
      </c>
      <c r="AM185" s="26">
        <v>78</v>
      </c>
      <c r="AN185" s="28">
        <v>0.4</v>
      </c>
      <c r="AO185" s="38">
        <v>1</v>
      </c>
      <c r="AP185" s="34">
        <v>10</v>
      </c>
      <c r="AQ185" s="2">
        <v>155.6</v>
      </c>
      <c r="AR185" s="29">
        <v>0.31</v>
      </c>
      <c r="AS185" s="34">
        <v>0.1</v>
      </c>
      <c r="AT185" s="13">
        <v>1</v>
      </c>
      <c r="AU185" s="29">
        <v>20</v>
      </c>
      <c r="AV185" s="2">
        <v>1</v>
      </c>
      <c r="AW185" s="2">
        <v>1</v>
      </c>
    </row>
    <row r="186" spans="1:49" x14ac:dyDescent="0.2">
      <c r="A186" s="3">
        <v>6</v>
      </c>
      <c r="B186" t="s">
        <v>25</v>
      </c>
      <c r="C186" s="2">
        <v>57.1</v>
      </c>
      <c r="D186" s="4">
        <v>2</v>
      </c>
      <c r="E186" s="4">
        <v>1</v>
      </c>
      <c r="F186" s="5" t="s">
        <v>53</v>
      </c>
      <c r="G186" s="5">
        <v>36.9</v>
      </c>
      <c r="H186">
        <v>2</v>
      </c>
      <c r="I186" t="s">
        <v>26</v>
      </c>
      <c r="J186" s="2">
        <v>1</v>
      </c>
      <c r="M186" s="2">
        <v>1.2</v>
      </c>
      <c r="N186">
        <v>1</v>
      </c>
      <c r="O186">
        <v>2</v>
      </c>
      <c r="P186">
        <v>2</v>
      </c>
      <c r="Q186">
        <v>2</v>
      </c>
      <c r="S186">
        <v>2</v>
      </c>
      <c r="T186" s="1"/>
      <c r="U186" s="1"/>
      <c r="V186" s="13"/>
      <c r="W186" s="1"/>
      <c r="Y186" s="4"/>
      <c r="Z186">
        <v>1</v>
      </c>
      <c r="AA186">
        <v>0</v>
      </c>
      <c r="AB186">
        <v>1</v>
      </c>
      <c r="AC186" s="2">
        <v>1</v>
      </c>
      <c r="AD186" s="19"/>
      <c r="AE186" s="2">
        <v>1</v>
      </c>
      <c r="AF186" s="2">
        <v>1</v>
      </c>
      <c r="AG186" s="12" t="s">
        <v>53</v>
      </c>
      <c r="AH186" s="9"/>
      <c r="AI186" s="10"/>
      <c r="AJ186" s="35"/>
      <c r="AK186" s="2">
        <v>1</v>
      </c>
      <c r="AL186" s="3">
        <v>100</v>
      </c>
      <c r="AM186" s="26">
        <v>79</v>
      </c>
      <c r="AN186" s="30">
        <v>0.05</v>
      </c>
      <c r="AO186" s="39"/>
      <c r="AP186" s="28"/>
      <c r="AQ186" s="2">
        <v>99.5</v>
      </c>
      <c r="AR186" s="29">
        <v>0.46</v>
      </c>
      <c r="AS186" s="34">
        <f>0.1/2</f>
        <v>0.05</v>
      </c>
      <c r="AT186" s="13">
        <v>1</v>
      </c>
      <c r="AU186" s="29">
        <v>20</v>
      </c>
      <c r="AV186" s="2">
        <v>1</v>
      </c>
      <c r="AW186" s="2">
        <v>1</v>
      </c>
    </row>
    <row r="187" spans="1:49" x14ac:dyDescent="0.2">
      <c r="A187" s="3">
        <v>80</v>
      </c>
      <c r="B187" t="s">
        <v>27</v>
      </c>
      <c r="C187" s="2">
        <v>23.2</v>
      </c>
      <c r="D187" s="6">
        <v>2</v>
      </c>
      <c r="E187" s="6">
        <v>2</v>
      </c>
      <c r="F187" s="7">
        <v>1</v>
      </c>
      <c r="G187" s="7"/>
      <c r="H187">
        <v>2</v>
      </c>
      <c r="I187" t="s">
        <v>26</v>
      </c>
      <c r="J187" s="2">
        <v>1</v>
      </c>
      <c r="K187">
        <v>1</v>
      </c>
      <c r="M187" s="2">
        <v>2</v>
      </c>
      <c r="N187">
        <v>1</v>
      </c>
      <c r="O187">
        <v>2</v>
      </c>
      <c r="P187">
        <v>2</v>
      </c>
      <c r="Q187">
        <v>1</v>
      </c>
      <c r="R187">
        <v>2</v>
      </c>
      <c r="S187">
        <v>1</v>
      </c>
      <c r="T187" s="3">
        <v>8</v>
      </c>
      <c r="U187" s="3">
        <v>8</v>
      </c>
      <c r="V187" s="14">
        <v>100</v>
      </c>
      <c r="W187" s="2">
        <v>2.8</v>
      </c>
      <c r="X187">
        <v>2</v>
      </c>
      <c r="Y187" s="6">
        <v>2</v>
      </c>
      <c r="Z187">
        <v>2</v>
      </c>
      <c r="AA187">
        <v>2</v>
      </c>
      <c r="AB187">
        <v>1</v>
      </c>
      <c r="AC187" s="2">
        <v>1</v>
      </c>
      <c r="AD187" s="19"/>
      <c r="AE187" s="2">
        <v>2</v>
      </c>
      <c r="AF187" s="2">
        <v>3</v>
      </c>
      <c r="AG187" s="22"/>
      <c r="AH187" s="7"/>
      <c r="AI187" s="19"/>
      <c r="AJ187" s="22"/>
      <c r="AK187" s="2">
        <v>1</v>
      </c>
      <c r="AL187" s="3">
        <v>100</v>
      </c>
      <c r="AM187" s="26"/>
      <c r="AN187" s="32"/>
      <c r="AO187" s="41"/>
      <c r="AP187" s="31"/>
      <c r="AQ187" s="2">
        <v>255.7</v>
      </c>
      <c r="AR187" s="32">
        <v>2.74</v>
      </c>
      <c r="AS187" s="31">
        <v>1.73</v>
      </c>
      <c r="AT187" s="14">
        <v>1</v>
      </c>
      <c r="AU187" s="29">
        <v>1.3</v>
      </c>
      <c r="AV187" s="2">
        <v>3</v>
      </c>
      <c r="AW187" s="2">
        <v>3</v>
      </c>
    </row>
    <row r="188" spans="1:49" x14ac:dyDescent="0.2">
      <c r="A188" s="3">
        <v>213</v>
      </c>
      <c r="B188" t="s">
        <v>25</v>
      </c>
      <c r="C188" s="2">
        <v>64.900000000000006</v>
      </c>
      <c r="D188" s="4">
        <v>2</v>
      </c>
      <c r="E188" s="4">
        <v>2</v>
      </c>
      <c r="F188" s="5">
        <v>1</v>
      </c>
      <c r="G188" s="5">
        <v>31.2</v>
      </c>
      <c r="H188">
        <v>1</v>
      </c>
      <c r="I188" t="s">
        <v>26</v>
      </c>
      <c r="J188" s="2">
        <v>1</v>
      </c>
      <c r="K188">
        <v>3</v>
      </c>
      <c r="M188" s="2">
        <v>0.5</v>
      </c>
      <c r="N188">
        <v>1</v>
      </c>
      <c r="O188">
        <v>1</v>
      </c>
      <c r="P188">
        <v>1</v>
      </c>
      <c r="Q188">
        <v>2</v>
      </c>
      <c r="R188">
        <v>2</v>
      </c>
      <c r="S188">
        <v>2</v>
      </c>
      <c r="T188" s="1"/>
      <c r="U188" s="1"/>
      <c r="V188" s="13"/>
      <c r="W188" s="1"/>
      <c r="Y188" s="4">
        <v>1</v>
      </c>
      <c r="Z188">
        <v>1</v>
      </c>
      <c r="AA188">
        <v>0</v>
      </c>
      <c r="AB188">
        <v>1</v>
      </c>
      <c r="AC188" s="2">
        <v>1</v>
      </c>
      <c r="AD188" s="19"/>
      <c r="AE188" s="2">
        <v>1</v>
      </c>
      <c r="AF188" s="2">
        <v>3</v>
      </c>
      <c r="AH188" s="9"/>
      <c r="AI188" s="10"/>
      <c r="AJ188" s="35"/>
      <c r="AK188" s="2">
        <v>1</v>
      </c>
      <c r="AL188" s="3">
        <v>30</v>
      </c>
      <c r="AM188" s="26">
        <v>81</v>
      </c>
      <c r="AN188" s="29">
        <v>8.8000000000000007</v>
      </c>
      <c r="AO188" s="39"/>
      <c r="AP188" s="28"/>
      <c r="AQ188" s="2">
        <v>18.2</v>
      </c>
      <c r="AR188" s="29">
        <v>91</v>
      </c>
      <c r="AS188" s="28">
        <v>0.3</v>
      </c>
      <c r="AT188" s="13">
        <v>1</v>
      </c>
      <c r="AU188" s="29">
        <v>20</v>
      </c>
      <c r="AV188" s="2">
        <v>1</v>
      </c>
      <c r="AW188" s="2">
        <v>1</v>
      </c>
    </row>
    <row r="189" spans="1:49" x14ac:dyDescent="0.2">
      <c r="A189" s="3">
        <v>5</v>
      </c>
      <c r="B189" t="s">
        <v>25</v>
      </c>
      <c r="C189" s="2">
        <v>43.8</v>
      </c>
      <c r="D189" s="4">
        <v>2</v>
      </c>
      <c r="E189" s="4">
        <v>2</v>
      </c>
      <c r="F189" s="5">
        <v>1</v>
      </c>
      <c r="G189" s="5">
        <v>37.200000000000003</v>
      </c>
      <c r="H189">
        <v>1</v>
      </c>
      <c r="I189" t="s">
        <v>26</v>
      </c>
      <c r="J189" s="2">
        <v>1</v>
      </c>
      <c r="K189">
        <v>3</v>
      </c>
      <c r="M189" s="2">
        <v>4</v>
      </c>
      <c r="N189">
        <v>1</v>
      </c>
      <c r="O189">
        <v>2</v>
      </c>
      <c r="P189">
        <v>2</v>
      </c>
      <c r="Q189">
        <v>2</v>
      </c>
      <c r="R189">
        <v>2</v>
      </c>
      <c r="T189" s="1"/>
      <c r="U189" s="1"/>
      <c r="V189" s="13"/>
      <c r="W189" s="1"/>
      <c r="Y189" s="4">
        <v>2</v>
      </c>
      <c r="Z189">
        <v>2</v>
      </c>
      <c r="AA189">
        <v>3</v>
      </c>
      <c r="AB189">
        <v>1</v>
      </c>
      <c r="AC189" s="2">
        <v>1</v>
      </c>
      <c r="AD189" s="19" t="s">
        <v>53</v>
      </c>
      <c r="AE189" s="2">
        <v>1</v>
      </c>
      <c r="AF189" s="2">
        <v>1</v>
      </c>
      <c r="AH189" s="5"/>
      <c r="AI189" s="4"/>
      <c r="AJ189" s="35"/>
      <c r="AK189" s="2">
        <v>1</v>
      </c>
      <c r="AL189" s="3">
        <v>100</v>
      </c>
      <c r="AM189" s="26">
        <v>81.22</v>
      </c>
      <c r="AN189" s="28">
        <v>3.4</v>
      </c>
      <c r="AO189" s="38">
        <v>1</v>
      </c>
      <c r="AP189" s="34">
        <v>10</v>
      </c>
      <c r="AQ189" s="2">
        <v>169.6</v>
      </c>
      <c r="AR189" s="29">
        <v>0.89</v>
      </c>
      <c r="AS189" s="28">
        <v>0.1</v>
      </c>
      <c r="AT189" s="13">
        <v>1</v>
      </c>
      <c r="AU189" s="29">
        <v>2.2000000000000002</v>
      </c>
      <c r="AV189" s="2">
        <v>1</v>
      </c>
      <c r="AW189" s="2">
        <v>1</v>
      </c>
    </row>
    <row r="190" spans="1:49" x14ac:dyDescent="0.2">
      <c r="A190" s="3">
        <v>122</v>
      </c>
      <c r="B190" t="s">
        <v>25</v>
      </c>
      <c r="C190" s="2">
        <v>30.6</v>
      </c>
      <c r="D190" s="4">
        <v>2</v>
      </c>
      <c r="E190" s="4">
        <v>2</v>
      </c>
      <c r="F190" s="5">
        <v>1</v>
      </c>
      <c r="G190" s="5">
        <v>26.1</v>
      </c>
      <c r="H190">
        <v>1</v>
      </c>
      <c r="I190" t="s">
        <v>26</v>
      </c>
      <c r="J190" s="2">
        <v>1</v>
      </c>
      <c r="K190">
        <v>3</v>
      </c>
      <c r="M190" s="2">
        <v>1.1000000000000001</v>
      </c>
      <c r="N190">
        <v>1</v>
      </c>
      <c r="O190">
        <v>1</v>
      </c>
      <c r="P190">
        <v>1</v>
      </c>
      <c r="Q190">
        <v>2</v>
      </c>
      <c r="R190">
        <v>2</v>
      </c>
      <c r="S190">
        <v>2</v>
      </c>
      <c r="T190" s="1"/>
      <c r="U190" s="1"/>
      <c r="V190" s="13"/>
      <c r="W190" s="1"/>
      <c r="Y190" s="4">
        <v>2</v>
      </c>
      <c r="Z190">
        <v>1</v>
      </c>
      <c r="AA190">
        <v>0</v>
      </c>
      <c r="AB190">
        <v>1</v>
      </c>
      <c r="AC190" s="2">
        <v>1</v>
      </c>
      <c r="AD190" s="19"/>
      <c r="AE190" s="2">
        <v>1</v>
      </c>
      <c r="AF190" s="2">
        <v>3</v>
      </c>
      <c r="AH190" s="9"/>
      <c r="AI190" s="10"/>
      <c r="AJ190" s="35"/>
      <c r="AK190" s="2">
        <v>1</v>
      </c>
      <c r="AL190" s="3">
        <v>100</v>
      </c>
      <c r="AM190" s="26">
        <v>83</v>
      </c>
      <c r="AN190" s="28">
        <v>66.8</v>
      </c>
      <c r="AO190" s="39"/>
      <c r="AP190" s="28"/>
      <c r="AQ190" s="2">
        <v>135.1</v>
      </c>
      <c r="AR190" s="29">
        <v>0.93</v>
      </c>
      <c r="AS190" s="28">
        <v>1</v>
      </c>
      <c r="AT190" s="13">
        <v>2</v>
      </c>
      <c r="AU190" s="29">
        <v>90</v>
      </c>
      <c r="AV190" s="2">
        <v>3</v>
      </c>
      <c r="AW190" s="2">
        <v>3</v>
      </c>
    </row>
    <row r="191" spans="1:49" x14ac:dyDescent="0.2">
      <c r="A191" s="3">
        <v>471</v>
      </c>
      <c r="B191" t="s">
        <v>25</v>
      </c>
      <c r="C191" s="2">
        <v>51.5</v>
      </c>
      <c r="D191" s="4">
        <v>1</v>
      </c>
      <c r="E191" s="4">
        <v>2</v>
      </c>
      <c r="F191" s="5">
        <v>1</v>
      </c>
      <c r="G191" s="5">
        <v>24.6</v>
      </c>
      <c r="H191">
        <v>1</v>
      </c>
      <c r="I191" t="s">
        <v>26</v>
      </c>
      <c r="J191" s="2">
        <v>1</v>
      </c>
      <c r="K191">
        <v>12</v>
      </c>
      <c r="M191" s="2">
        <v>1.1000000000000001</v>
      </c>
      <c r="N191">
        <v>1</v>
      </c>
      <c r="O191">
        <v>1</v>
      </c>
      <c r="P191">
        <v>1</v>
      </c>
      <c r="Q191">
        <v>2</v>
      </c>
      <c r="S191">
        <v>1</v>
      </c>
      <c r="T191" s="1"/>
      <c r="U191" s="1"/>
      <c r="V191" s="16"/>
      <c r="W191" s="2">
        <v>1</v>
      </c>
      <c r="X191">
        <v>2</v>
      </c>
      <c r="Y191" s="4">
        <v>2</v>
      </c>
      <c r="Z191">
        <v>1</v>
      </c>
      <c r="AA191">
        <v>2</v>
      </c>
      <c r="AB191">
        <v>1</v>
      </c>
      <c r="AC191" s="2">
        <v>1</v>
      </c>
      <c r="AD191" s="19"/>
      <c r="AE191" s="2">
        <v>2</v>
      </c>
      <c r="AF191" s="2">
        <v>3</v>
      </c>
      <c r="AH191" s="9"/>
      <c r="AI191" s="10"/>
      <c r="AJ191" s="35"/>
      <c r="AK191" s="2">
        <v>1</v>
      </c>
      <c r="AL191" s="3">
        <v>100</v>
      </c>
      <c r="AM191" s="26"/>
      <c r="AN191" s="28"/>
      <c r="AO191" s="39"/>
      <c r="AP191" s="28"/>
      <c r="AQ191" s="2">
        <v>168</v>
      </c>
      <c r="AR191" s="29">
        <v>0.99</v>
      </c>
      <c r="AS191" s="28">
        <v>0.1</v>
      </c>
      <c r="AT191" s="13">
        <v>1</v>
      </c>
      <c r="AU191" s="29">
        <v>1.3</v>
      </c>
      <c r="AV191" s="2">
        <v>1</v>
      </c>
      <c r="AW191" s="2">
        <v>1</v>
      </c>
    </row>
    <row r="192" spans="1:49" x14ac:dyDescent="0.2">
      <c r="A192" s="3">
        <v>14</v>
      </c>
      <c r="B192" t="s">
        <v>25</v>
      </c>
      <c r="C192" s="2">
        <v>46.8</v>
      </c>
      <c r="D192" s="4">
        <v>2</v>
      </c>
      <c r="E192" s="4">
        <v>1</v>
      </c>
      <c r="F192" s="5">
        <v>1</v>
      </c>
      <c r="G192" s="5">
        <v>24.2</v>
      </c>
      <c r="H192">
        <v>1</v>
      </c>
      <c r="I192" t="s">
        <v>26</v>
      </c>
      <c r="J192" s="2">
        <v>1</v>
      </c>
      <c r="K192">
        <v>3</v>
      </c>
      <c r="M192" s="2">
        <v>2.2999999999999998</v>
      </c>
      <c r="N192">
        <v>1</v>
      </c>
      <c r="O192">
        <v>2</v>
      </c>
      <c r="P192">
        <v>2</v>
      </c>
      <c r="Q192">
        <v>2</v>
      </c>
      <c r="R192">
        <v>2</v>
      </c>
      <c r="T192" s="1"/>
      <c r="U192" s="1"/>
      <c r="V192" s="13"/>
      <c r="W192" s="1"/>
      <c r="Y192" s="4">
        <v>2</v>
      </c>
      <c r="Z192">
        <v>2</v>
      </c>
      <c r="AA192">
        <v>3</v>
      </c>
      <c r="AB192">
        <v>1</v>
      </c>
      <c r="AC192" s="2">
        <v>1</v>
      </c>
      <c r="AD192" s="19"/>
      <c r="AE192" s="2">
        <v>1</v>
      </c>
      <c r="AF192" s="2">
        <v>1</v>
      </c>
      <c r="AH192" s="9"/>
      <c r="AI192" s="10"/>
      <c r="AJ192" s="35"/>
      <c r="AK192" s="2">
        <v>1</v>
      </c>
      <c r="AL192" s="3">
        <v>30</v>
      </c>
      <c r="AM192" s="26">
        <v>84</v>
      </c>
      <c r="AN192" s="29">
        <v>2.2999999999999998</v>
      </c>
      <c r="AO192" s="38">
        <v>1</v>
      </c>
      <c r="AP192" s="34">
        <v>10</v>
      </c>
      <c r="AQ192" s="2">
        <v>118.1</v>
      </c>
      <c r="AR192" s="29">
        <v>2.0299999999999998</v>
      </c>
      <c r="AS192" s="28">
        <v>0.1</v>
      </c>
      <c r="AT192" s="13">
        <v>1</v>
      </c>
      <c r="AU192" s="29">
        <v>1.3</v>
      </c>
      <c r="AV192" s="2">
        <v>1</v>
      </c>
      <c r="AW192" s="2">
        <v>1</v>
      </c>
    </row>
    <row r="193" spans="1:49" x14ac:dyDescent="0.2">
      <c r="A193" s="3">
        <v>247</v>
      </c>
      <c r="B193" t="s">
        <v>27</v>
      </c>
      <c r="C193" s="2">
        <v>61.8</v>
      </c>
      <c r="D193" s="4">
        <v>2</v>
      </c>
      <c r="E193" s="4">
        <v>2</v>
      </c>
      <c r="F193" s="5">
        <v>1</v>
      </c>
      <c r="G193" s="5">
        <v>34.9</v>
      </c>
      <c r="H193">
        <v>1</v>
      </c>
      <c r="I193" t="s">
        <v>26</v>
      </c>
      <c r="J193" s="2">
        <v>1</v>
      </c>
      <c r="K193">
        <v>3</v>
      </c>
      <c r="M193" s="2">
        <v>0.6</v>
      </c>
      <c r="N193">
        <v>1</v>
      </c>
      <c r="O193">
        <v>1</v>
      </c>
      <c r="P193">
        <v>1</v>
      </c>
      <c r="Q193">
        <v>2</v>
      </c>
      <c r="R193">
        <v>2</v>
      </c>
      <c r="S193">
        <v>2</v>
      </c>
      <c r="T193" s="1"/>
      <c r="U193" s="1"/>
      <c r="V193" s="13"/>
      <c r="W193" s="1"/>
      <c r="Y193" s="4">
        <v>2</v>
      </c>
      <c r="Z193">
        <v>1</v>
      </c>
      <c r="AA193">
        <v>0</v>
      </c>
      <c r="AB193">
        <v>1</v>
      </c>
      <c r="AC193" s="2">
        <v>1</v>
      </c>
      <c r="AD193" s="19"/>
      <c r="AE193" s="2">
        <v>1</v>
      </c>
      <c r="AF193" s="2">
        <v>3</v>
      </c>
      <c r="AH193" s="9"/>
      <c r="AI193" s="10"/>
      <c r="AJ193" s="35"/>
      <c r="AK193" s="2">
        <v>1</v>
      </c>
      <c r="AL193" s="3">
        <v>30</v>
      </c>
      <c r="AM193" s="26">
        <v>86</v>
      </c>
      <c r="AN193" s="28">
        <v>4.3</v>
      </c>
      <c r="AO193" s="38">
        <v>1</v>
      </c>
      <c r="AP193" s="34">
        <v>10</v>
      </c>
      <c r="AQ193" s="2">
        <v>148.6</v>
      </c>
      <c r="AR193" s="29">
        <v>2.56</v>
      </c>
      <c r="AS193" s="28">
        <v>0.1</v>
      </c>
      <c r="AT193" s="13">
        <v>1</v>
      </c>
      <c r="AU193" s="29">
        <v>20</v>
      </c>
      <c r="AV193" s="2">
        <v>1</v>
      </c>
      <c r="AW193" s="2">
        <v>1</v>
      </c>
    </row>
    <row r="194" spans="1:49" x14ac:dyDescent="0.2">
      <c r="A194" s="3">
        <v>50</v>
      </c>
      <c r="B194" t="s">
        <v>27</v>
      </c>
      <c r="C194" s="2">
        <v>60.4</v>
      </c>
      <c r="D194" s="4">
        <v>2</v>
      </c>
      <c r="E194" s="4">
        <v>2</v>
      </c>
      <c r="F194" s="5">
        <v>1</v>
      </c>
      <c r="G194" s="5">
        <v>16.600000000000001</v>
      </c>
      <c r="H194">
        <v>2</v>
      </c>
      <c r="I194" t="s">
        <v>29</v>
      </c>
      <c r="J194" s="2">
        <v>1</v>
      </c>
      <c r="K194">
        <v>1</v>
      </c>
      <c r="M194" s="2">
        <v>3.1</v>
      </c>
      <c r="N194">
        <v>3</v>
      </c>
      <c r="O194">
        <v>1</v>
      </c>
      <c r="P194">
        <v>2</v>
      </c>
      <c r="Q194">
        <v>1</v>
      </c>
      <c r="S194">
        <v>1</v>
      </c>
      <c r="T194" s="3">
        <v>29</v>
      </c>
      <c r="U194" s="3">
        <v>7</v>
      </c>
      <c r="V194" s="15">
        <v>24.14</v>
      </c>
      <c r="W194" s="2">
        <v>2.5</v>
      </c>
      <c r="Y194" s="4">
        <v>2</v>
      </c>
      <c r="Z194">
        <v>4</v>
      </c>
      <c r="AA194">
        <v>2</v>
      </c>
      <c r="AB194">
        <v>1</v>
      </c>
      <c r="AC194" s="2">
        <v>3</v>
      </c>
      <c r="AD194" s="19"/>
      <c r="AE194" s="2">
        <v>3</v>
      </c>
      <c r="AF194" s="2">
        <v>4</v>
      </c>
      <c r="AH194" s="9"/>
      <c r="AI194" s="10"/>
      <c r="AJ194" s="35"/>
      <c r="AK194" s="2">
        <v>1</v>
      </c>
      <c r="AL194" s="3">
        <v>200</v>
      </c>
      <c r="AM194" s="26"/>
      <c r="AN194" s="29"/>
      <c r="AO194" s="39"/>
      <c r="AP194" s="28"/>
      <c r="AQ194" s="2">
        <v>116.8</v>
      </c>
      <c r="AR194" s="29">
        <v>1.31</v>
      </c>
      <c r="AS194" s="28">
        <v>91.8</v>
      </c>
      <c r="AT194" s="13">
        <v>1</v>
      </c>
      <c r="AU194" s="29">
        <v>20</v>
      </c>
      <c r="AV194" s="2">
        <v>4</v>
      </c>
      <c r="AW194" s="2">
        <v>4</v>
      </c>
    </row>
    <row r="195" spans="1:49" x14ac:dyDescent="0.2">
      <c r="A195" s="3">
        <v>192</v>
      </c>
      <c r="B195" t="s">
        <v>25</v>
      </c>
      <c r="C195" s="2">
        <v>53.9</v>
      </c>
      <c r="D195" s="4">
        <v>2</v>
      </c>
      <c r="E195" s="4">
        <v>2</v>
      </c>
      <c r="F195" s="5">
        <v>1</v>
      </c>
      <c r="G195" s="5">
        <v>21.4</v>
      </c>
      <c r="H195">
        <v>1</v>
      </c>
      <c r="I195" t="s">
        <v>26</v>
      </c>
      <c r="J195" s="2">
        <v>1</v>
      </c>
      <c r="K195">
        <v>4</v>
      </c>
      <c r="M195" s="2">
        <v>0.7</v>
      </c>
      <c r="N195">
        <v>2</v>
      </c>
      <c r="O195">
        <v>1</v>
      </c>
      <c r="P195">
        <v>1</v>
      </c>
      <c r="Q195">
        <v>2</v>
      </c>
      <c r="R195">
        <v>2</v>
      </c>
      <c r="S195">
        <v>2</v>
      </c>
      <c r="T195" s="1"/>
      <c r="U195" s="1"/>
      <c r="V195" s="13"/>
      <c r="W195" s="1"/>
      <c r="Y195" s="4">
        <v>2</v>
      </c>
      <c r="Z195">
        <v>1</v>
      </c>
      <c r="AA195">
        <v>0</v>
      </c>
      <c r="AB195">
        <v>1</v>
      </c>
      <c r="AC195" s="2">
        <v>1</v>
      </c>
      <c r="AD195" s="19"/>
      <c r="AE195" s="2">
        <v>2</v>
      </c>
      <c r="AF195" s="2">
        <v>3</v>
      </c>
      <c r="AH195" s="9"/>
      <c r="AI195" s="10"/>
      <c r="AJ195" s="35"/>
      <c r="AK195" s="2">
        <v>1</v>
      </c>
      <c r="AL195" s="3">
        <v>100</v>
      </c>
      <c r="AM195" s="26">
        <v>89</v>
      </c>
      <c r="AN195" s="29">
        <v>4.8</v>
      </c>
      <c r="AO195" s="38">
        <v>1</v>
      </c>
      <c r="AP195" s="34">
        <v>10</v>
      </c>
      <c r="AQ195" s="2">
        <v>164.9</v>
      </c>
      <c r="AR195" s="29">
        <v>0.17</v>
      </c>
      <c r="AS195" s="28">
        <v>0.1</v>
      </c>
      <c r="AT195" s="13">
        <v>1</v>
      </c>
      <c r="AU195" s="29">
        <v>2</v>
      </c>
      <c r="AV195" s="2">
        <v>1</v>
      </c>
      <c r="AW195" s="2">
        <v>1</v>
      </c>
    </row>
    <row r="196" spans="1:49" x14ac:dyDescent="0.2">
      <c r="A196" s="3">
        <v>348</v>
      </c>
      <c r="B196" t="s">
        <v>25</v>
      </c>
      <c r="C196" s="2">
        <v>57.1</v>
      </c>
      <c r="D196" s="4">
        <v>2</v>
      </c>
      <c r="E196" s="4">
        <v>2</v>
      </c>
      <c r="F196" s="5">
        <v>3</v>
      </c>
      <c r="G196" s="5">
        <v>41.5</v>
      </c>
      <c r="H196">
        <v>1</v>
      </c>
      <c r="I196" t="s">
        <v>26</v>
      </c>
      <c r="J196" s="2">
        <v>1</v>
      </c>
      <c r="K196">
        <v>3</v>
      </c>
      <c r="M196" s="2">
        <v>1.7</v>
      </c>
      <c r="N196">
        <v>1</v>
      </c>
      <c r="O196">
        <v>2</v>
      </c>
      <c r="P196">
        <v>2</v>
      </c>
      <c r="Q196">
        <v>2</v>
      </c>
      <c r="R196">
        <v>2</v>
      </c>
      <c r="S196">
        <v>2</v>
      </c>
      <c r="T196" s="1"/>
      <c r="U196" s="1"/>
      <c r="V196" s="13"/>
      <c r="W196" s="1"/>
      <c r="Y196" s="4">
        <v>2</v>
      </c>
      <c r="Z196">
        <v>1</v>
      </c>
      <c r="AA196">
        <v>0</v>
      </c>
      <c r="AB196">
        <v>1</v>
      </c>
      <c r="AC196" s="2">
        <v>1</v>
      </c>
      <c r="AD196" s="19"/>
      <c r="AE196" s="2">
        <v>1</v>
      </c>
      <c r="AF196" s="2">
        <v>1</v>
      </c>
      <c r="AH196" s="5"/>
      <c r="AI196" s="10"/>
      <c r="AJ196" s="35"/>
      <c r="AK196" s="2">
        <v>1</v>
      </c>
      <c r="AL196" s="3">
        <v>30</v>
      </c>
      <c r="AM196" s="26">
        <v>89.13</v>
      </c>
      <c r="AN196" s="29">
        <v>1.7</v>
      </c>
      <c r="AO196" s="38">
        <v>1</v>
      </c>
      <c r="AP196" s="34">
        <v>10</v>
      </c>
      <c r="AQ196" s="2">
        <v>78.400000000000006</v>
      </c>
      <c r="AR196" s="29">
        <v>0.62</v>
      </c>
      <c r="AS196" s="34">
        <f>0.1/2</f>
        <v>0.05</v>
      </c>
      <c r="AT196" s="13">
        <v>1</v>
      </c>
      <c r="AU196" s="29">
        <v>20</v>
      </c>
      <c r="AV196" s="2">
        <v>1</v>
      </c>
      <c r="AW196" s="2">
        <v>1</v>
      </c>
    </row>
    <row r="197" spans="1:49" x14ac:dyDescent="0.2">
      <c r="A197" s="3">
        <v>486</v>
      </c>
      <c r="B197" t="s">
        <v>25</v>
      </c>
      <c r="C197" s="2">
        <v>38.5</v>
      </c>
      <c r="D197" s="6">
        <v>2</v>
      </c>
      <c r="E197" s="6">
        <v>2</v>
      </c>
      <c r="F197" s="7">
        <v>1</v>
      </c>
      <c r="G197" s="7">
        <v>24.9</v>
      </c>
      <c r="H197">
        <v>1</v>
      </c>
      <c r="I197" t="s">
        <v>26</v>
      </c>
      <c r="J197" s="2">
        <v>1</v>
      </c>
      <c r="K197">
        <v>1</v>
      </c>
      <c r="M197" s="2">
        <v>1.2</v>
      </c>
      <c r="N197">
        <v>2</v>
      </c>
      <c r="O197">
        <v>2</v>
      </c>
      <c r="P197">
        <v>2</v>
      </c>
      <c r="Q197">
        <v>1</v>
      </c>
      <c r="S197">
        <v>1</v>
      </c>
      <c r="T197" s="3">
        <v>1</v>
      </c>
      <c r="U197" s="3">
        <v>1</v>
      </c>
      <c r="V197" s="14">
        <v>100</v>
      </c>
      <c r="W197" s="2">
        <v>1.7</v>
      </c>
      <c r="X197">
        <v>1</v>
      </c>
      <c r="Y197" s="6">
        <v>2</v>
      </c>
      <c r="Z197">
        <v>3</v>
      </c>
      <c r="AA197">
        <v>3</v>
      </c>
      <c r="AB197">
        <v>1</v>
      </c>
      <c r="AC197" s="2">
        <v>1</v>
      </c>
      <c r="AD197" s="19"/>
      <c r="AE197" s="2">
        <v>2</v>
      </c>
      <c r="AF197" s="2">
        <v>4</v>
      </c>
      <c r="AG197" s="22"/>
      <c r="AH197" s="7"/>
      <c r="AI197" s="19"/>
      <c r="AJ197" s="36"/>
      <c r="AK197" s="2">
        <v>1</v>
      </c>
      <c r="AL197" s="3">
        <v>100</v>
      </c>
      <c r="AM197" s="26">
        <v>93</v>
      </c>
      <c r="AN197" s="32">
        <v>5.56</v>
      </c>
      <c r="AO197" s="40">
        <v>1</v>
      </c>
      <c r="AP197" s="31">
        <v>10</v>
      </c>
      <c r="AQ197" s="2">
        <v>248.9</v>
      </c>
      <c r="AR197" s="32">
        <v>1.51</v>
      </c>
      <c r="AS197" s="31">
        <v>0.14000000000000001</v>
      </c>
      <c r="AT197" s="14">
        <v>1</v>
      </c>
      <c r="AU197" s="32">
        <v>2.1</v>
      </c>
      <c r="AV197" s="2">
        <v>1</v>
      </c>
      <c r="AW197" s="2">
        <v>1</v>
      </c>
    </row>
    <row r="198" spans="1:49" x14ac:dyDescent="0.2">
      <c r="A198" s="3">
        <v>353</v>
      </c>
      <c r="B198" t="s">
        <v>25</v>
      </c>
      <c r="C198" s="2">
        <v>28.5</v>
      </c>
      <c r="D198" s="4">
        <v>2</v>
      </c>
      <c r="E198" s="4">
        <v>2</v>
      </c>
      <c r="F198" s="5">
        <v>1</v>
      </c>
      <c r="G198" s="5">
        <v>22.7</v>
      </c>
      <c r="H198">
        <v>1</v>
      </c>
      <c r="I198" t="s">
        <v>26</v>
      </c>
      <c r="J198" s="2">
        <v>1</v>
      </c>
      <c r="K198">
        <v>1</v>
      </c>
      <c r="M198" s="2">
        <v>2.5</v>
      </c>
      <c r="N198">
        <v>2</v>
      </c>
      <c r="O198">
        <v>2</v>
      </c>
      <c r="P198">
        <v>2</v>
      </c>
      <c r="Q198">
        <v>1</v>
      </c>
      <c r="R198">
        <v>2</v>
      </c>
      <c r="S198">
        <v>2</v>
      </c>
      <c r="T198" s="1"/>
      <c r="U198" s="1"/>
      <c r="V198" s="13"/>
      <c r="W198" s="1"/>
      <c r="Y198" s="4">
        <v>2</v>
      </c>
      <c r="Z198">
        <v>2</v>
      </c>
      <c r="AA198">
        <v>0</v>
      </c>
      <c r="AB198">
        <v>1</v>
      </c>
      <c r="AC198" s="2">
        <v>1</v>
      </c>
      <c r="AD198" s="19"/>
      <c r="AE198" s="2">
        <v>2</v>
      </c>
      <c r="AF198" s="2">
        <v>3</v>
      </c>
      <c r="AH198" s="9"/>
      <c r="AI198" s="10"/>
      <c r="AJ198" s="35"/>
      <c r="AK198" s="2">
        <v>1</v>
      </c>
      <c r="AL198" s="3">
        <v>50</v>
      </c>
      <c r="AM198" s="26">
        <v>93.5</v>
      </c>
      <c r="AN198" s="29">
        <v>12.4</v>
      </c>
      <c r="AO198" s="38">
        <v>1</v>
      </c>
      <c r="AP198" s="34">
        <v>10</v>
      </c>
      <c r="AQ198" s="2">
        <v>86.4</v>
      </c>
      <c r="AR198" s="29">
        <v>1.96</v>
      </c>
      <c r="AS198" s="30">
        <f>0.1/2</f>
        <v>0.05</v>
      </c>
      <c r="AT198" s="13">
        <v>1</v>
      </c>
      <c r="AU198" s="29">
        <v>20</v>
      </c>
      <c r="AV198" s="2">
        <v>1</v>
      </c>
      <c r="AW198" s="2">
        <v>1</v>
      </c>
    </row>
    <row r="199" spans="1:49" x14ac:dyDescent="0.2">
      <c r="A199" s="3">
        <v>306</v>
      </c>
      <c r="B199" t="s">
        <v>25</v>
      </c>
      <c r="C199" s="2">
        <v>52.3</v>
      </c>
      <c r="D199" s="4">
        <v>2</v>
      </c>
      <c r="E199" s="4">
        <v>2</v>
      </c>
      <c r="F199" s="5"/>
      <c r="G199" s="5"/>
      <c r="H199">
        <v>1</v>
      </c>
      <c r="I199" t="s">
        <v>28</v>
      </c>
      <c r="J199" s="2">
        <v>1</v>
      </c>
      <c r="M199" s="2">
        <v>1.6</v>
      </c>
      <c r="N199">
        <v>1</v>
      </c>
      <c r="O199">
        <v>1</v>
      </c>
      <c r="P199">
        <v>1</v>
      </c>
      <c r="Q199">
        <v>1</v>
      </c>
      <c r="R199">
        <v>2</v>
      </c>
      <c r="S199">
        <v>2</v>
      </c>
      <c r="T199" s="1"/>
      <c r="U199" s="1"/>
      <c r="V199" s="13"/>
      <c r="W199" s="1"/>
      <c r="Y199" s="4">
        <v>2</v>
      </c>
      <c r="Z199">
        <v>1</v>
      </c>
      <c r="AA199">
        <v>0</v>
      </c>
      <c r="AB199">
        <v>1</v>
      </c>
      <c r="AC199" s="2">
        <v>1</v>
      </c>
      <c r="AD199" s="19"/>
      <c r="AE199" s="2">
        <v>2</v>
      </c>
      <c r="AF199" s="2">
        <v>3</v>
      </c>
      <c r="AH199" s="5"/>
      <c r="AI199" s="10"/>
      <c r="AJ199" s="35"/>
      <c r="AK199" s="2">
        <v>1</v>
      </c>
      <c r="AL199" s="3">
        <v>30</v>
      </c>
      <c r="AM199" s="26">
        <v>95</v>
      </c>
      <c r="AN199" s="29">
        <v>9.9</v>
      </c>
      <c r="AO199" s="38">
        <v>1</v>
      </c>
      <c r="AP199" s="28"/>
      <c r="AQ199" s="2">
        <v>148.6</v>
      </c>
      <c r="AR199" s="29">
        <v>2.7</v>
      </c>
      <c r="AS199" s="34">
        <f>0.1/2</f>
        <v>0.05</v>
      </c>
      <c r="AT199" s="13">
        <v>1</v>
      </c>
      <c r="AU199" s="29">
        <v>20</v>
      </c>
      <c r="AV199" s="2">
        <v>1</v>
      </c>
      <c r="AW199" s="2">
        <v>1</v>
      </c>
    </row>
    <row r="200" spans="1:49" x14ac:dyDescent="0.2">
      <c r="A200" s="3">
        <v>236</v>
      </c>
      <c r="B200" t="s">
        <v>25</v>
      </c>
      <c r="C200" s="2">
        <v>45.2</v>
      </c>
      <c r="D200" s="4">
        <v>2</v>
      </c>
      <c r="E200" s="4">
        <v>2</v>
      </c>
      <c r="F200" s="5"/>
      <c r="G200" s="5">
        <v>37</v>
      </c>
      <c r="H200">
        <v>1</v>
      </c>
      <c r="I200" t="s">
        <v>26</v>
      </c>
      <c r="J200" s="2">
        <v>1</v>
      </c>
      <c r="K200">
        <v>3</v>
      </c>
      <c r="M200" s="2">
        <v>2.1</v>
      </c>
      <c r="N200">
        <v>1</v>
      </c>
      <c r="O200">
        <v>2</v>
      </c>
      <c r="P200">
        <v>2</v>
      </c>
      <c r="Q200">
        <v>2</v>
      </c>
      <c r="R200">
        <v>2</v>
      </c>
      <c r="S200">
        <v>2</v>
      </c>
      <c r="T200" s="1"/>
      <c r="U200" s="1"/>
      <c r="V200" s="13"/>
      <c r="W200" s="1"/>
      <c r="Y200" s="4">
        <v>1</v>
      </c>
      <c r="Z200">
        <v>2</v>
      </c>
      <c r="AA200">
        <v>0</v>
      </c>
      <c r="AB200">
        <v>1</v>
      </c>
      <c r="AC200" s="2">
        <v>1</v>
      </c>
      <c r="AD200" s="19"/>
      <c r="AE200" s="2">
        <v>1</v>
      </c>
      <c r="AF200" s="2">
        <v>1</v>
      </c>
      <c r="AH200" s="5"/>
      <c r="AI200" s="10"/>
      <c r="AJ200" s="35"/>
      <c r="AK200" s="2">
        <v>1</v>
      </c>
      <c r="AL200" s="3">
        <v>100</v>
      </c>
      <c r="AM200" s="26">
        <v>98.44</v>
      </c>
      <c r="AN200" s="29">
        <v>0.1</v>
      </c>
      <c r="AO200" s="38">
        <v>1</v>
      </c>
      <c r="AP200" s="34">
        <v>10</v>
      </c>
      <c r="AQ200" s="2">
        <v>132.19999999999999</v>
      </c>
      <c r="AR200" s="29">
        <v>0.22</v>
      </c>
      <c r="AS200" s="28">
        <v>0.1</v>
      </c>
      <c r="AT200" s="13">
        <v>1</v>
      </c>
      <c r="AU200" s="29">
        <v>1.3</v>
      </c>
      <c r="AV200" s="2">
        <v>1</v>
      </c>
      <c r="AW200" s="2">
        <v>1</v>
      </c>
    </row>
    <row r="201" spans="1:49" x14ac:dyDescent="0.2">
      <c r="A201" s="3">
        <v>138</v>
      </c>
      <c r="B201" t="s">
        <v>25</v>
      </c>
      <c r="C201" s="2">
        <v>56.3</v>
      </c>
      <c r="D201" s="4">
        <v>2</v>
      </c>
      <c r="E201" s="4">
        <v>2</v>
      </c>
      <c r="F201" s="5">
        <v>1</v>
      </c>
      <c r="G201" s="5">
        <v>27.1</v>
      </c>
      <c r="H201">
        <v>1</v>
      </c>
      <c r="I201" t="s">
        <v>26</v>
      </c>
      <c r="J201" s="2">
        <v>1</v>
      </c>
      <c r="K201">
        <v>1</v>
      </c>
      <c r="M201" s="2">
        <v>1.2</v>
      </c>
      <c r="N201">
        <v>1</v>
      </c>
      <c r="O201">
        <v>1</v>
      </c>
      <c r="P201">
        <v>1</v>
      </c>
      <c r="Q201">
        <v>1</v>
      </c>
      <c r="R201">
        <v>2</v>
      </c>
      <c r="S201">
        <v>2</v>
      </c>
      <c r="T201" s="1"/>
      <c r="U201" s="1"/>
      <c r="V201" s="15"/>
      <c r="W201" s="1"/>
      <c r="Y201" s="4">
        <v>1</v>
      </c>
      <c r="Z201">
        <v>1</v>
      </c>
      <c r="AA201">
        <v>0</v>
      </c>
      <c r="AB201">
        <v>1</v>
      </c>
      <c r="AC201" s="2">
        <v>1</v>
      </c>
      <c r="AD201" s="19"/>
      <c r="AE201" s="2">
        <v>2</v>
      </c>
      <c r="AF201" s="2">
        <v>3</v>
      </c>
      <c r="AH201" s="9"/>
      <c r="AI201" s="10"/>
      <c r="AJ201" s="35"/>
      <c r="AK201" s="2">
        <v>1</v>
      </c>
      <c r="AL201" s="3">
        <v>100</v>
      </c>
      <c r="AM201" s="26">
        <v>100</v>
      </c>
      <c r="AN201" s="29">
        <v>0.5</v>
      </c>
      <c r="AO201" s="38">
        <v>1</v>
      </c>
      <c r="AP201" s="28"/>
      <c r="AQ201" s="2">
        <v>169.4</v>
      </c>
      <c r="AR201" s="29">
        <v>1.23</v>
      </c>
      <c r="AS201" s="34">
        <f>0.1/2</f>
        <v>0.05</v>
      </c>
      <c r="AT201" s="13">
        <v>1</v>
      </c>
      <c r="AU201" s="29">
        <v>20</v>
      </c>
      <c r="AV201" s="2">
        <v>1</v>
      </c>
      <c r="AW201" s="2">
        <v>1</v>
      </c>
    </row>
    <row r="202" spans="1:49" x14ac:dyDescent="0.2">
      <c r="A202" s="3">
        <v>341</v>
      </c>
      <c r="B202" t="s">
        <v>25</v>
      </c>
      <c r="C202" s="2">
        <v>21.8</v>
      </c>
      <c r="D202" s="4">
        <v>2</v>
      </c>
      <c r="E202" s="4">
        <v>2</v>
      </c>
      <c r="F202" s="5">
        <v>1</v>
      </c>
      <c r="G202" s="5">
        <v>25.6</v>
      </c>
      <c r="H202">
        <v>2</v>
      </c>
      <c r="I202" t="s">
        <v>26</v>
      </c>
      <c r="J202" s="2">
        <v>1</v>
      </c>
      <c r="K202">
        <v>1</v>
      </c>
      <c r="M202" s="2">
        <v>1.8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1</v>
      </c>
      <c r="T202" s="3">
        <v>14</v>
      </c>
      <c r="U202" s="3">
        <v>11</v>
      </c>
      <c r="V202" s="13">
        <v>78.569999999999993</v>
      </c>
      <c r="W202" s="2">
        <v>1.7</v>
      </c>
      <c r="X202">
        <v>2</v>
      </c>
      <c r="Y202" s="4">
        <v>2</v>
      </c>
      <c r="Z202">
        <v>1</v>
      </c>
      <c r="AA202">
        <v>2</v>
      </c>
      <c r="AB202">
        <v>1</v>
      </c>
      <c r="AC202" s="2">
        <v>1</v>
      </c>
      <c r="AD202" s="19"/>
      <c r="AE202" s="2">
        <v>2</v>
      </c>
      <c r="AF202" s="2">
        <v>3</v>
      </c>
      <c r="AH202" s="5"/>
      <c r="AI202" s="10"/>
      <c r="AJ202" s="35"/>
      <c r="AK202" s="2">
        <v>1</v>
      </c>
      <c r="AL202" s="3">
        <v>100</v>
      </c>
      <c r="AM202" s="26"/>
      <c r="AN202" s="29"/>
      <c r="AO202" s="39"/>
      <c r="AP202" s="28"/>
      <c r="AQ202" s="2">
        <v>224.9</v>
      </c>
      <c r="AR202" s="29">
        <v>148</v>
      </c>
      <c r="AS202" s="28">
        <v>27.7</v>
      </c>
      <c r="AT202" s="13">
        <v>1</v>
      </c>
      <c r="AU202" s="29">
        <v>20</v>
      </c>
      <c r="AV202" s="2">
        <v>1</v>
      </c>
      <c r="AW202" s="2">
        <v>1</v>
      </c>
    </row>
    <row r="203" spans="1:49" x14ac:dyDescent="0.2">
      <c r="A203" s="3">
        <v>386</v>
      </c>
      <c r="B203" t="s">
        <v>25</v>
      </c>
      <c r="C203" s="2">
        <v>40.9</v>
      </c>
      <c r="D203" s="6">
        <v>2</v>
      </c>
      <c r="E203" s="6">
        <v>2</v>
      </c>
      <c r="F203" s="7">
        <v>2</v>
      </c>
      <c r="G203" s="7">
        <v>26.1</v>
      </c>
      <c r="H203">
        <v>1</v>
      </c>
      <c r="I203" t="s">
        <v>26</v>
      </c>
      <c r="J203" s="2">
        <v>1</v>
      </c>
      <c r="K203">
        <v>1</v>
      </c>
      <c r="M203" s="2">
        <v>3.7</v>
      </c>
      <c r="N203">
        <v>1</v>
      </c>
      <c r="O203">
        <v>2</v>
      </c>
      <c r="P203">
        <v>2</v>
      </c>
      <c r="Q203">
        <v>1</v>
      </c>
      <c r="R203">
        <v>2</v>
      </c>
      <c r="S203">
        <v>1</v>
      </c>
      <c r="T203" s="3">
        <v>45</v>
      </c>
      <c r="U203" s="3">
        <v>7</v>
      </c>
      <c r="V203" s="14">
        <v>15.56</v>
      </c>
      <c r="W203" s="2">
        <v>1.5</v>
      </c>
      <c r="X203">
        <v>2</v>
      </c>
      <c r="Y203" s="6">
        <v>1</v>
      </c>
      <c r="Z203">
        <v>2</v>
      </c>
      <c r="AA203">
        <v>2</v>
      </c>
      <c r="AB203">
        <v>1</v>
      </c>
      <c r="AC203" s="2">
        <v>1</v>
      </c>
      <c r="AD203" s="19"/>
      <c r="AE203" s="2">
        <v>2</v>
      </c>
      <c r="AF203" s="2">
        <v>3</v>
      </c>
      <c r="AG203" s="22"/>
      <c r="AH203" s="7"/>
      <c r="AI203" s="19"/>
      <c r="AJ203" s="36"/>
      <c r="AK203" s="2">
        <v>1</v>
      </c>
      <c r="AL203" s="3">
        <v>100</v>
      </c>
      <c r="AM203" s="26"/>
      <c r="AN203" s="32"/>
      <c r="AO203" s="41"/>
      <c r="AP203" s="32"/>
      <c r="AQ203" s="2">
        <v>241.2</v>
      </c>
      <c r="AR203" s="32">
        <v>0.44</v>
      </c>
      <c r="AS203" s="31">
        <v>0.28999999999999998</v>
      </c>
      <c r="AT203" s="14">
        <v>1</v>
      </c>
      <c r="AU203" s="29">
        <v>20</v>
      </c>
      <c r="AV203" s="2">
        <v>2</v>
      </c>
      <c r="AW203" s="2">
        <v>2</v>
      </c>
    </row>
    <row r="204" spans="1:49" x14ac:dyDescent="0.2">
      <c r="A204" s="3">
        <v>283</v>
      </c>
      <c r="B204" t="s">
        <v>27</v>
      </c>
      <c r="C204" s="2">
        <v>19.8</v>
      </c>
      <c r="D204" s="4">
        <v>2</v>
      </c>
      <c r="E204" s="4">
        <v>2</v>
      </c>
      <c r="F204" s="5"/>
      <c r="G204" s="5">
        <v>22.6</v>
      </c>
      <c r="H204">
        <v>2</v>
      </c>
      <c r="I204" t="s">
        <v>26</v>
      </c>
      <c r="J204" s="2">
        <v>1</v>
      </c>
      <c r="K204">
        <v>1</v>
      </c>
      <c r="M204" s="2">
        <v>2</v>
      </c>
      <c r="N204">
        <v>2</v>
      </c>
      <c r="O204">
        <v>2</v>
      </c>
      <c r="P204">
        <v>2</v>
      </c>
      <c r="Q204">
        <v>1</v>
      </c>
      <c r="R204">
        <v>2</v>
      </c>
      <c r="T204" s="1"/>
      <c r="U204" s="1"/>
      <c r="V204" s="13"/>
      <c r="W204" s="1"/>
      <c r="Y204" s="4">
        <v>2</v>
      </c>
      <c r="Z204">
        <v>2</v>
      </c>
      <c r="AA204">
        <v>3</v>
      </c>
      <c r="AB204">
        <v>1</v>
      </c>
      <c r="AC204" s="2">
        <v>1</v>
      </c>
      <c r="AD204" s="19"/>
      <c r="AE204" s="2">
        <v>2</v>
      </c>
      <c r="AF204" s="2">
        <v>3</v>
      </c>
      <c r="AH204" s="5"/>
      <c r="AI204" s="10"/>
      <c r="AK204" s="2">
        <v>1</v>
      </c>
      <c r="AL204" s="3">
        <v>150</v>
      </c>
      <c r="AM204" s="26">
        <v>100</v>
      </c>
      <c r="AN204" s="29">
        <v>30</v>
      </c>
      <c r="AO204" s="39"/>
      <c r="AP204" s="29"/>
      <c r="AQ204" s="2">
        <v>119</v>
      </c>
      <c r="AR204" s="29">
        <v>0.64</v>
      </c>
      <c r="AS204" s="28">
        <v>0.1</v>
      </c>
      <c r="AT204" s="13">
        <v>1</v>
      </c>
      <c r="AU204" s="29">
        <v>20</v>
      </c>
      <c r="AV204" s="2">
        <v>1</v>
      </c>
      <c r="AW204" s="2">
        <v>1</v>
      </c>
    </row>
    <row r="205" spans="1:49" x14ac:dyDescent="0.2">
      <c r="A205" s="3">
        <v>436</v>
      </c>
      <c r="B205" t="s">
        <v>25</v>
      </c>
      <c r="C205" s="2">
        <v>66.3</v>
      </c>
      <c r="D205" s="10"/>
      <c r="E205" s="4">
        <v>2</v>
      </c>
      <c r="F205" s="5"/>
      <c r="G205" s="5">
        <v>20.399999999999999</v>
      </c>
      <c r="H205">
        <v>1</v>
      </c>
      <c r="I205" t="s">
        <v>28</v>
      </c>
      <c r="J205" s="2">
        <v>1</v>
      </c>
      <c r="K205">
        <v>1</v>
      </c>
      <c r="M205" s="2">
        <v>2.8</v>
      </c>
      <c r="N205">
        <v>2</v>
      </c>
      <c r="O205">
        <v>2</v>
      </c>
      <c r="P205">
        <v>2</v>
      </c>
      <c r="Q205">
        <v>1</v>
      </c>
      <c r="R205">
        <v>2</v>
      </c>
      <c r="T205" s="1"/>
      <c r="U205" s="1"/>
      <c r="V205" s="13"/>
      <c r="W205" s="1"/>
      <c r="Y205" s="4">
        <v>2</v>
      </c>
      <c r="Z205">
        <v>2</v>
      </c>
      <c r="AA205">
        <v>3</v>
      </c>
      <c r="AB205">
        <v>1</v>
      </c>
      <c r="AC205" s="2">
        <v>2</v>
      </c>
      <c r="AD205" s="6">
        <v>1</v>
      </c>
      <c r="AE205" s="2">
        <v>2</v>
      </c>
      <c r="AF205" s="2">
        <v>3</v>
      </c>
      <c r="AH205" s="5"/>
      <c r="AI205" s="10"/>
      <c r="AJ205" s="35"/>
      <c r="AK205" s="2">
        <v>1</v>
      </c>
      <c r="AL205" s="3">
        <v>150</v>
      </c>
      <c r="AM205" s="26">
        <v>100.84</v>
      </c>
      <c r="AN205" s="29">
        <v>0.1</v>
      </c>
      <c r="AO205" s="38">
        <v>1</v>
      </c>
      <c r="AP205" s="34">
        <v>10</v>
      </c>
      <c r="AQ205" s="2">
        <v>14.8</v>
      </c>
      <c r="AR205" s="29">
        <v>17</v>
      </c>
      <c r="AS205" s="34">
        <f>0.04/2</f>
        <v>0.02</v>
      </c>
      <c r="AT205" s="13">
        <v>1</v>
      </c>
      <c r="AU205" s="29">
        <v>13</v>
      </c>
      <c r="AV205" s="2">
        <v>1</v>
      </c>
      <c r="AW205" s="2">
        <v>1</v>
      </c>
    </row>
    <row r="206" spans="1:49" x14ac:dyDescent="0.2">
      <c r="A206" s="3">
        <v>7</v>
      </c>
      <c r="B206" t="s">
        <v>25</v>
      </c>
      <c r="C206" s="2">
        <v>66.2</v>
      </c>
      <c r="D206" s="4">
        <v>2</v>
      </c>
      <c r="E206" s="4">
        <v>2</v>
      </c>
      <c r="F206" s="5"/>
      <c r="G206" s="5">
        <v>22</v>
      </c>
      <c r="H206">
        <v>1</v>
      </c>
      <c r="I206" t="s">
        <v>26</v>
      </c>
      <c r="J206" s="2">
        <v>1</v>
      </c>
      <c r="K206">
        <v>3</v>
      </c>
      <c r="M206" s="2">
        <v>1.7</v>
      </c>
      <c r="N206">
        <v>1</v>
      </c>
      <c r="O206">
        <v>1</v>
      </c>
      <c r="P206">
        <v>1</v>
      </c>
      <c r="Q206">
        <v>2</v>
      </c>
      <c r="R206">
        <v>2</v>
      </c>
      <c r="T206" s="1"/>
      <c r="U206" s="1"/>
      <c r="V206" s="13" t="s">
        <v>53</v>
      </c>
      <c r="W206" s="1"/>
      <c r="X206" t="s">
        <v>53</v>
      </c>
      <c r="Y206" s="4">
        <v>1</v>
      </c>
      <c r="Z206">
        <v>1</v>
      </c>
      <c r="AA206">
        <v>3</v>
      </c>
      <c r="AB206">
        <v>1</v>
      </c>
      <c r="AC206" s="2">
        <v>1</v>
      </c>
      <c r="AD206" s="19"/>
      <c r="AE206" s="2">
        <v>1</v>
      </c>
      <c r="AF206" s="2">
        <v>3</v>
      </c>
      <c r="AH206" s="5"/>
      <c r="AI206" s="10"/>
      <c r="AJ206" s="35"/>
      <c r="AK206" s="2">
        <v>1</v>
      </c>
      <c r="AL206" s="3">
        <v>150</v>
      </c>
      <c r="AM206" s="26">
        <v>101</v>
      </c>
      <c r="AN206" s="29">
        <v>41</v>
      </c>
      <c r="AO206" s="38">
        <v>1</v>
      </c>
      <c r="AP206" s="34">
        <v>10</v>
      </c>
      <c r="AQ206" s="2">
        <v>69.5</v>
      </c>
      <c r="AR206" s="29">
        <v>0.09</v>
      </c>
      <c r="AS206" s="28">
        <v>0.23</v>
      </c>
      <c r="AT206" s="13">
        <v>1</v>
      </c>
      <c r="AU206" s="29">
        <v>1.3</v>
      </c>
      <c r="AV206" s="2">
        <v>4</v>
      </c>
      <c r="AW206" s="2">
        <v>4</v>
      </c>
    </row>
    <row r="207" spans="1:49" x14ac:dyDescent="0.2">
      <c r="A207" s="3">
        <v>45</v>
      </c>
      <c r="B207" t="s">
        <v>25</v>
      </c>
      <c r="C207" s="2">
        <v>59</v>
      </c>
      <c r="D207" s="4">
        <v>2</v>
      </c>
      <c r="E207" s="4">
        <v>2</v>
      </c>
      <c r="F207" s="5">
        <v>1</v>
      </c>
      <c r="G207" s="5">
        <v>43.5</v>
      </c>
      <c r="H207">
        <v>1</v>
      </c>
      <c r="I207" t="s">
        <v>26</v>
      </c>
      <c r="J207" s="2">
        <v>1</v>
      </c>
      <c r="K207">
        <v>3</v>
      </c>
      <c r="M207" s="2">
        <v>1</v>
      </c>
      <c r="N207">
        <v>1</v>
      </c>
      <c r="O207">
        <v>1</v>
      </c>
      <c r="P207">
        <v>1</v>
      </c>
      <c r="Q207">
        <v>2</v>
      </c>
      <c r="R207">
        <v>2</v>
      </c>
      <c r="S207">
        <v>2</v>
      </c>
      <c r="T207" s="1"/>
      <c r="U207" s="1"/>
      <c r="V207" s="13"/>
      <c r="W207" s="1"/>
      <c r="Y207" s="4">
        <v>2</v>
      </c>
      <c r="Z207">
        <v>1</v>
      </c>
      <c r="AA207">
        <v>0</v>
      </c>
      <c r="AB207">
        <v>1</v>
      </c>
      <c r="AC207" s="2">
        <v>1</v>
      </c>
      <c r="AD207" s="19"/>
      <c r="AE207" s="2">
        <v>1</v>
      </c>
      <c r="AF207" s="2">
        <v>3</v>
      </c>
      <c r="AH207" s="9"/>
      <c r="AI207" s="10"/>
      <c r="AJ207" s="35"/>
      <c r="AK207" s="2">
        <v>1</v>
      </c>
      <c r="AL207" s="3">
        <v>100</v>
      </c>
      <c r="AM207" s="26">
        <v>102</v>
      </c>
      <c r="AN207" s="29">
        <v>2.72</v>
      </c>
      <c r="AO207" s="38">
        <v>1</v>
      </c>
      <c r="AP207" s="34">
        <v>10</v>
      </c>
      <c r="AQ207" s="2">
        <v>127.1</v>
      </c>
      <c r="AR207" s="29">
        <v>0.39</v>
      </c>
      <c r="AS207" s="34">
        <f>0.04/2</f>
        <v>0.02</v>
      </c>
      <c r="AT207" s="13">
        <v>1</v>
      </c>
      <c r="AU207" s="29">
        <v>14.5</v>
      </c>
      <c r="AV207" s="2">
        <v>1</v>
      </c>
      <c r="AW207" s="2">
        <v>1</v>
      </c>
    </row>
    <row r="208" spans="1:49" x14ac:dyDescent="0.2">
      <c r="A208" s="3">
        <v>481</v>
      </c>
      <c r="B208" t="s">
        <v>25</v>
      </c>
      <c r="C208" s="2">
        <v>50.3</v>
      </c>
      <c r="D208" s="4">
        <v>2</v>
      </c>
      <c r="E208" s="4">
        <v>2</v>
      </c>
      <c r="F208" s="5">
        <v>1</v>
      </c>
      <c r="G208" s="5">
        <v>28.3</v>
      </c>
      <c r="H208">
        <v>1</v>
      </c>
      <c r="I208" t="s">
        <v>28</v>
      </c>
      <c r="J208" s="2">
        <v>1</v>
      </c>
      <c r="K208">
        <v>7</v>
      </c>
      <c r="M208" s="1"/>
      <c r="N208">
        <v>3</v>
      </c>
      <c r="O208">
        <v>2</v>
      </c>
      <c r="P208">
        <v>2</v>
      </c>
      <c r="S208">
        <v>1</v>
      </c>
      <c r="T208" s="3">
        <v>23</v>
      </c>
      <c r="U208" s="3">
        <v>11</v>
      </c>
      <c r="V208" s="13">
        <v>47.83</v>
      </c>
      <c r="W208" s="1"/>
      <c r="X208">
        <v>1</v>
      </c>
      <c r="Y208" s="4"/>
      <c r="Z208">
        <v>4</v>
      </c>
      <c r="AA208">
        <v>2</v>
      </c>
      <c r="AB208">
        <v>1</v>
      </c>
      <c r="AC208" s="2">
        <v>4</v>
      </c>
      <c r="AD208" s="19"/>
      <c r="AE208" s="2">
        <v>3</v>
      </c>
      <c r="AF208" s="2">
        <v>4</v>
      </c>
      <c r="AH208" s="5"/>
      <c r="AI208" s="10"/>
      <c r="AJ208" s="35"/>
      <c r="AK208" s="2">
        <v>1</v>
      </c>
      <c r="AL208" s="3">
        <v>200</v>
      </c>
      <c r="AM208" s="26"/>
      <c r="AN208" s="28"/>
      <c r="AO208" s="39"/>
      <c r="AP208" s="28"/>
      <c r="AQ208" s="2">
        <v>130.80000000000001</v>
      </c>
      <c r="AR208" s="29">
        <v>0.04</v>
      </c>
      <c r="AS208" s="28">
        <v>3891</v>
      </c>
      <c r="AT208" s="13">
        <v>1</v>
      </c>
      <c r="AU208" s="29">
        <v>20</v>
      </c>
      <c r="AV208" s="2">
        <v>4</v>
      </c>
      <c r="AW208" s="2">
        <v>4</v>
      </c>
    </row>
    <row r="209" spans="1:49" x14ac:dyDescent="0.2">
      <c r="A209" s="3">
        <v>420</v>
      </c>
      <c r="B209" t="s">
        <v>25</v>
      </c>
      <c r="C209" s="2">
        <v>67.400000000000006</v>
      </c>
      <c r="D209" s="6"/>
      <c r="E209" s="6"/>
      <c r="F209" s="7"/>
      <c r="G209" s="7"/>
      <c r="H209">
        <v>1</v>
      </c>
      <c r="I209" t="s">
        <v>29</v>
      </c>
      <c r="J209" s="2">
        <v>1</v>
      </c>
      <c r="K209">
        <v>1</v>
      </c>
      <c r="M209" s="2">
        <v>6.3</v>
      </c>
      <c r="N209">
        <v>3</v>
      </c>
      <c r="O209">
        <v>2</v>
      </c>
      <c r="P209">
        <v>2</v>
      </c>
      <c r="Q209">
        <v>2</v>
      </c>
      <c r="R209">
        <v>2</v>
      </c>
      <c r="S209">
        <v>1</v>
      </c>
      <c r="T209" s="3">
        <v>45</v>
      </c>
      <c r="U209" s="3">
        <v>11</v>
      </c>
      <c r="V209" s="14"/>
      <c r="W209" s="2">
        <v>2.2000000000000002</v>
      </c>
      <c r="X209">
        <v>1</v>
      </c>
      <c r="Y209" s="6"/>
      <c r="Z209">
        <v>3</v>
      </c>
      <c r="AA209">
        <v>2</v>
      </c>
      <c r="AB209">
        <v>1</v>
      </c>
      <c r="AC209" s="2">
        <v>2</v>
      </c>
      <c r="AD209" s="19"/>
      <c r="AE209" s="2">
        <v>3</v>
      </c>
      <c r="AF209" s="2">
        <v>4</v>
      </c>
      <c r="AG209" s="22"/>
      <c r="AH209" s="23"/>
      <c r="AI209" s="19"/>
      <c r="AJ209" s="36"/>
      <c r="AK209" s="2">
        <v>1</v>
      </c>
      <c r="AL209" s="3">
        <v>150</v>
      </c>
      <c r="AM209" s="26"/>
      <c r="AN209" s="32"/>
      <c r="AO209" s="40"/>
      <c r="AP209" s="31"/>
      <c r="AQ209" s="2">
        <v>5.6</v>
      </c>
      <c r="AR209" s="32"/>
      <c r="AS209" s="31"/>
      <c r="AT209" s="14"/>
      <c r="AU209" s="32"/>
      <c r="AV209" s="2">
        <v>2</v>
      </c>
      <c r="AW209" s="2">
        <v>1</v>
      </c>
    </row>
    <row r="210" spans="1:49" x14ac:dyDescent="0.2">
      <c r="A210" s="3">
        <v>250</v>
      </c>
      <c r="B210" t="s">
        <v>25</v>
      </c>
      <c r="C210" s="2">
        <v>57.6</v>
      </c>
      <c r="D210" s="4">
        <v>2</v>
      </c>
      <c r="E210" s="4">
        <v>2</v>
      </c>
      <c r="F210" s="5"/>
      <c r="G210" s="5">
        <v>36.799999999999997</v>
      </c>
      <c r="H210">
        <v>2</v>
      </c>
      <c r="I210" t="s">
        <v>26</v>
      </c>
      <c r="J210" s="2">
        <v>1</v>
      </c>
      <c r="K210">
        <v>3</v>
      </c>
      <c r="M210" s="2">
        <v>1.1000000000000001</v>
      </c>
      <c r="N210">
        <v>1</v>
      </c>
      <c r="O210">
        <v>1</v>
      </c>
      <c r="P210">
        <v>1</v>
      </c>
      <c r="Q210">
        <v>2</v>
      </c>
      <c r="R210">
        <v>2</v>
      </c>
      <c r="S210">
        <v>2</v>
      </c>
      <c r="T210" s="1"/>
      <c r="U210" s="1"/>
      <c r="V210" s="15"/>
      <c r="W210" s="1"/>
      <c r="Y210" s="4">
        <v>2</v>
      </c>
      <c r="Z210">
        <v>1</v>
      </c>
      <c r="AA210">
        <v>0</v>
      </c>
      <c r="AB210">
        <v>1</v>
      </c>
      <c r="AC210" s="2">
        <v>1</v>
      </c>
      <c r="AD210" s="19"/>
      <c r="AE210" s="2">
        <v>1</v>
      </c>
      <c r="AF210" s="2">
        <v>3</v>
      </c>
      <c r="AH210" s="9"/>
      <c r="AI210" s="10"/>
      <c r="AJ210" s="35"/>
      <c r="AK210" s="2">
        <v>1</v>
      </c>
      <c r="AL210" s="3">
        <v>150</v>
      </c>
      <c r="AM210" s="26">
        <v>108</v>
      </c>
      <c r="AN210" s="29">
        <v>3.3</v>
      </c>
      <c r="AO210" s="38">
        <v>1</v>
      </c>
      <c r="AP210" s="34">
        <v>10</v>
      </c>
      <c r="AQ210" s="2">
        <v>120.7</v>
      </c>
      <c r="AR210" s="29">
        <v>11.4</v>
      </c>
      <c r="AS210" s="28">
        <v>0.1</v>
      </c>
      <c r="AT210" s="13">
        <v>1</v>
      </c>
      <c r="AU210" s="29">
        <v>20</v>
      </c>
      <c r="AV210" s="2">
        <v>1</v>
      </c>
      <c r="AW210" s="2">
        <v>1</v>
      </c>
    </row>
    <row r="211" spans="1:49" x14ac:dyDescent="0.2">
      <c r="A211" s="3">
        <v>336</v>
      </c>
      <c r="B211" t="s">
        <v>25</v>
      </c>
      <c r="C211" s="2">
        <v>40.799999999999997</v>
      </c>
      <c r="D211" s="4">
        <v>2</v>
      </c>
      <c r="E211" s="4">
        <v>2</v>
      </c>
      <c r="F211" s="5"/>
      <c r="G211" s="5"/>
      <c r="H211">
        <v>1</v>
      </c>
      <c r="I211" t="s">
        <v>28</v>
      </c>
      <c r="J211" s="2">
        <v>1</v>
      </c>
      <c r="K211">
        <v>3</v>
      </c>
      <c r="M211" s="2">
        <v>3.2</v>
      </c>
      <c r="N211">
        <v>2</v>
      </c>
      <c r="O211">
        <v>1</v>
      </c>
      <c r="P211">
        <v>1</v>
      </c>
      <c r="Q211">
        <v>2</v>
      </c>
      <c r="R211">
        <v>2</v>
      </c>
      <c r="S211">
        <v>2</v>
      </c>
      <c r="T211" s="1"/>
      <c r="U211" s="1"/>
      <c r="V211" s="13"/>
      <c r="W211" s="1"/>
      <c r="Y211" s="4">
        <v>2</v>
      </c>
      <c r="Z211">
        <v>2</v>
      </c>
      <c r="AA211">
        <v>0</v>
      </c>
      <c r="AB211">
        <v>1</v>
      </c>
      <c r="AC211" s="2">
        <v>1</v>
      </c>
      <c r="AD211" s="19"/>
      <c r="AE211" s="2">
        <v>2</v>
      </c>
      <c r="AF211" s="2">
        <v>3</v>
      </c>
      <c r="AH211" s="9"/>
      <c r="AI211" s="10"/>
      <c r="AJ211" s="35"/>
      <c r="AK211" s="2">
        <v>1</v>
      </c>
      <c r="AL211" s="3">
        <v>100</v>
      </c>
      <c r="AM211" s="26">
        <v>112</v>
      </c>
      <c r="AN211" s="29">
        <v>7</v>
      </c>
      <c r="AO211" s="38">
        <v>1</v>
      </c>
      <c r="AP211" s="34">
        <v>10</v>
      </c>
      <c r="AQ211" s="2">
        <v>88.2</v>
      </c>
      <c r="AR211" s="29">
        <v>0.66</v>
      </c>
      <c r="AS211" s="34">
        <v>0.1</v>
      </c>
      <c r="AT211" s="13">
        <v>1</v>
      </c>
      <c r="AU211" s="29">
        <v>20</v>
      </c>
      <c r="AV211" s="2">
        <v>1</v>
      </c>
      <c r="AW211" s="2">
        <v>1</v>
      </c>
    </row>
    <row r="212" spans="1:49" x14ac:dyDescent="0.2">
      <c r="A212" s="3">
        <v>163</v>
      </c>
      <c r="B212" t="s">
        <v>25</v>
      </c>
      <c r="C212" s="2">
        <v>54.6</v>
      </c>
      <c r="D212" s="4">
        <v>2</v>
      </c>
      <c r="E212" s="4">
        <v>2</v>
      </c>
      <c r="F212" s="5"/>
      <c r="G212" s="5">
        <v>37</v>
      </c>
      <c r="H212">
        <v>1</v>
      </c>
      <c r="I212" t="s">
        <v>26</v>
      </c>
      <c r="J212" s="2">
        <v>1</v>
      </c>
      <c r="K212">
        <v>3</v>
      </c>
      <c r="L212" t="s">
        <v>53</v>
      </c>
      <c r="M212" s="2">
        <v>2.8</v>
      </c>
      <c r="N212">
        <v>1</v>
      </c>
      <c r="O212">
        <v>2</v>
      </c>
      <c r="P212">
        <v>2</v>
      </c>
      <c r="Q212">
        <v>2</v>
      </c>
      <c r="R212">
        <v>2</v>
      </c>
      <c r="T212" s="1"/>
      <c r="U212" s="1"/>
      <c r="V212" s="13"/>
      <c r="W212" s="1"/>
      <c r="Y212" s="4">
        <v>2</v>
      </c>
      <c r="Z212">
        <v>2</v>
      </c>
      <c r="AA212">
        <v>0</v>
      </c>
      <c r="AB212">
        <v>1</v>
      </c>
      <c r="AC212" s="2">
        <v>1</v>
      </c>
      <c r="AD212" s="19"/>
      <c r="AE212" s="2">
        <v>1</v>
      </c>
      <c r="AF212" s="2">
        <v>1</v>
      </c>
      <c r="AH212" s="5"/>
      <c r="AI212" s="10"/>
      <c r="AJ212" s="35"/>
      <c r="AK212" s="2">
        <v>1</v>
      </c>
      <c r="AL212" s="3">
        <v>100</v>
      </c>
      <c r="AM212" s="26">
        <v>113</v>
      </c>
      <c r="AN212" s="29">
        <v>2.81</v>
      </c>
      <c r="AO212" s="38">
        <v>1</v>
      </c>
      <c r="AP212" s="34">
        <v>10</v>
      </c>
      <c r="AQ212" s="2">
        <v>158.6</v>
      </c>
      <c r="AR212" s="29">
        <v>1.1599999999999999</v>
      </c>
      <c r="AS212" s="34">
        <f>0.1/2</f>
        <v>0.05</v>
      </c>
      <c r="AT212" s="13">
        <v>1</v>
      </c>
      <c r="AU212" s="29">
        <v>1.3</v>
      </c>
      <c r="AV212" s="2">
        <v>1</v>
      </c>
      <c r="AW212" s="2">
        <v>1</v>
      </c>
    </row>
    <row r="213" spans="1:49" x14ac:dyDescent="0.2">
      <c r="A213" s="3">
        <v>28</v>
      </c>
      <c r="B213" t="s">
        <v>25</v>
      </c>
      <c r="C213" s="2">
        <v>26.3</v>
      </c>
      <c r="D213" s="4">
        <v>2</v>
      </c>
      <c r="E213" s="4">
        <v>2</v>
      </c>
      <c r="F213" s="5">
        <v>2</v>
      </c>
      <c r="G213" s="5">
        <v>24.2</v>
      </c>
      <c r="H213">
        <v>2</v>
      </c>
      <c r="I213" t="s">
        <v>26</v>
      </c>
      <c r="J213" s="2">
        <v>1</v>
      </c>
      <c r="K213">
        <v>1</v>
      </c>
      <c r="M213" s="2">
        <v>2</v>
      </c>
      <c r="N213">
        <v>1</v>
      </c>
      <c r="O213">
        <v>2</v>
      </c>
      <c r="P213">
        <v>2</v>
      </c>
      <c r="Q213">
        <v>2</v>
      </c>
      <c r="R213">
        <v>2</v>
      </c>
      <c r="S213">
        <v>1</v>
      </c>
      <c r="T213" s="3">
        <v>10</v>
      </c>
      <c r="U213" s="3">
        <v>1</v>
      </c>
      <c r="V213" s="13">
        <v>10</v>
      </c>
      <c r="W213" s="2">
        <v>0.9</v>
      </c>
      <c r="X213">
        <v>2</v>
      </c>
      <c r="Y213" s="4"/>
      <c r="Z213">
        <v>2</v>
      </c>
      <c r="AA213">
        <v>1</v>
      </c>
      <c r="AB213">
        <v>1</v>
      </c>
      <c r="AC213" s="2">
        <v>1</v>
      </c>
      <c r="AD213" s="6">
        <v>0</v>
      </c>
      <c r="AE213" s="2">
        <v>2</v>
      </c>
      <c r="AF213" s="2">
        <v>2</v>
      </c>
      <c r="AG213" s="13">
        <v>0.7</v>
      </c>
      <c r="AH213" s="24">
        <v>0.05</v>
      </c>
      <c r="AI213" s="4">
        <v>1</v>
      </c>
      <c r="AJ213" s="24">
        <v>10</v>
      </c>
      <c r="AK213" s="2">
        <v>0</v>
      </c>
      <c r="AL213" s="1"/>
      <c r="AM213" s="26"/>
      <c r="AN213" s="29"/>
      <c r="AO213" s="39"/>
      <c r="AP213" s="28"/>
      <c r="AQ213" s="2">
        <v>61.4</v>
      </c>
      <c r="AR213" s="29">
        <v>1.85</v>
      </c>
      <c r="AS213" s="34">
        <v>0.05</v>
      </c>
      <c r="AT213" s="13">
        <v>1</v>
      </c>
      <c r="AU213" s="29">
        <v>3.7</v>
      </c>
      <c r="AV213" s="2">
        <v>1</v>
      </c>
      <c r="AW213" s="2">
        <v>1</v>
      </c>
    </row>
    <row r="214" spans="1:49" x14ac:dyDescent="0.2">
      <c r="A214" s="3">
        <v>172</v>
      </c>
      <c r="B214" t="s">
        <v>25</v>
      </c>
      <c r="C214" s="2">
        <v>48.3</v>
      </c>
      <c r="D214" s="4">
        <v>2</v>
      </c>
      <c r="E214" s="4">
        <v>2</v>
      </c>
      <c r="F214" s="5">
        <v>2</v>
      </c>
      <c r="G214" s="5">
        <v>30.1</v>
      </c>
      <c r="H214">
        <v>2</v>
      </c>
      <c r="I214" t="s">
        <v>26</v>
      </c>
      <c r="J214" s="2">
        <v>1</v>
      </c>
      <c r="K214">
        <v>1</v>
      </c>
      <c r="M214" s="2">
        <v>0.5</v>
      </c>
      <c r="N214">
        <v>1</v>
      </c>
      <c r="O214">
        <v>2</v>
      </c>
      <c r="P214">
        <v>2</v>
      </c>
      <c r="Q214">
        <v>2</v>
      </c>
      <c r="R214">
        <v>2</v>
      </c>
      <c r="S214">
        <v>2</v>
      </c>
      <c r="T214" s="1"/>
      <c r="U214" s="1"/>
      <c r="V214" s="13"/>
      <c r="W214" s="1"/>
      <c r="Y214" s="4">
        <v>1</v>
      </c>
      <c r="Z214">
        <v>1</v>
      </c>
      <c r="AA214">
        <v>0</v>
      </c>
      <c r="AB214">
        <v>1</v>
      </c>
      <c r="AC214" s="2">
        <v>1</v>
      </c>
      <c r="AD214" s="19"/>
      <c r="AE214" s="2">
        <v>1</v>
      </c>
      <c r="AF214" s="2">
        <v>1</v>
      </c>
      <c r="AH214" s="9"/>
      <c r="AI214" s="10"/>
      <c r="AJ214" s="35"/>
      <c r="AK214" s="2">
        <v>1</v>
      </c>
      <c r="AL214" s="3">
        <v>30</v>
      </c>
      <c r="AM214" s="26">
        <v>115</v>
      </c>
      <c r="AN214" s="28">
        <v>12.5</v>
      </c>
      <c r="AO214" s="38">
        <v>1</v>
      </c>
      <c r="AP214" s="28">
        <v>26</v>
      </c>
      <c r="AQ214" s="2">
        <v>155.69999999999999</v>
      </c>
      <c r="AR214" s="29">
        <v>1.8</v>
      </c>
      <c r="AS214" s="34">
        <v>0.1</v>
      </c>
      <c r="AT214" s="13">
        <v>1</v>
      </c>
      <c r="AU214" s="29">
        <v>20</v>
      </c>
      <c r="AV214" s="2">
        <v>1</v>
      </c>
      <c r="AW214" s="2">
        <v>1</v>
      </c>
    </row>
    <row r="215" spans="1:49" x14ac:dyDescent="0.2">
      <c r="A215" s="3">
        <v>324</v>
      </c>
      <c r="B215" t="s">
        <v>25</v>
      </c>
      <c r="C215" s="2">
        <v>35</v>
      </c>
      <c r="D215" s="4">
        <v>2</v>
      </c>
      <c r="E215" s="4">
        <v>2</v>
      </c>
      <c r="F215" s="5"/>
      <c r="G215" s="5">
        <v>27.3</v>
      </c>
      <c r="H215">
        <v>1</v>
      </c>
      <c r="I215" t="s">
        <v>26</v>
      </c>
      <c r="J215" s="2">
        <v>1</v>
      </c>
      <c r="K215">
        <v>1</v>
      </c>
      <c r="M215" s="2">
        <v>3</v>
      </c>
      <c r="N215">
        <v>1</v>
      </c>
      <c r="O215">
        <v>2</v>
      </c>
      <c r="P215">
        <v>2</v>
      </c>
      <c r="T215" s="1"/>
      <c r="U215" s="1"/>
      <c r="V215" s="13"/>
      <c r="W215" s="1"/>
      <c r="Y215" s="4"/>
      <c r="Z215">
        <v>2</v>
      </c>
      <c r="AA215">
        <v>0</v>
      </c>
      <c r="AB215">
        <v>1</v>
      </c>
      <c r="AC215" s="2">
        <v>1</v>
      </c>
      <c r="AD215" s="19"/>
      <c r="AE215" s="2">
        <v>1</v>
      </c>
      <c r="AF215" s="2">
        <v>1</v>
      </c>
      <c r="AH215" s="5"/>
      <c r="AI215" s="10"/>
      <c r="AJ215" s="35"/>
      <c r="AK215" s="2">
        <v>1</v>
      </c>
      <c r="AL215" s="3">
        <v>150</v>
      </c>
      <c r="AM215" s="26">
        <v>116</v>
      </c>
      <c r="AN215" s="29">
        <v>0.34</v>
      </c>
      <c r="AO215" s="38">
        <v>1</v>
      </c>
      <c r="AP215" s="34">
        <v>10</v>
      </c>
      <c r="AQ215" s="2">
        <v>49.1</v>
      </c>
      <c r="AR215" s="29">
        <v>107</v>
      </c>
      <c r="AS215" s="28">
        <v>0.1</v>
      </c>
      <c r="AT215" s="13">
        <v>1</v>
      </c>
      <c r="AU215" s="29">
        <v>20</v>
      </c>
      <c r="AV215" s="2">
        <v>1</v>
      </c>
      <c r="AW215" s="2">
        <v>1</v>
      </c>
    </row>
    <row r="216" spans="1:49" x14ac:dyDescent="0.2">
      <c r="A216" s="3">
        <v>297</v>
      </c>
      <c r="B216" t="s">
        <v>27</v>
      </c>
      <c r="C216" s="2">
        <v>37.9</v>
      </c>
      <c r="D216" s="4">
        <v>2</v>
      </c>
      <c r="E216" s="4">
        <v>2</v>
      </c>
      <c r="F216" s="5"/>
      <c r="G216" s="5"/>
      <c r="H216">
        <v>1</v>
      </c>
      <c r="I216" t="s">
        <v>26</v>
      </c>
      <c r="J216" s="2">
        <v>1</v>
      </c>
      <c r="K216">
        <v>3</v>
      </c>
      <c r="M216" s="2">
        <v>2.5</v>
      </c>
      <c r="N216">
        <v>1</v>
      </c>
      <c r="O216">
        <v>1</v>
      </c>
      <c r="P216">
        <v>2</v>
      </c>
      <c r="Q216">
        <v>1</v>
      </c>
      <c r="R216">
        <v>2</v>
      </c>
      <c r="S216">
        <v>2</v>
      </c>
      <c r="T216" s="1"/>
      <c r="U216" s="1"/>
      <c r="V216" s="13"/>
      <c r="W216" s="1"/>
      <c r="Y216" s="4">
        <v>1</v>
      </c>
      <c r="Z216">
        <v>2</v>
      </c>
      <c r="AA216">
        <v>0</v>
      </c>
      <c r="AB216">
        <v>1</v>
      </c>
      <c r="AC216" s="2">
        <v>1</v>
      </c>
      <c r="AD216" s="19"/>
      <c r="AE216" s="2">
        <v>2</v>
      </c>
      <c r="AF216" s="2">
        <v>3</v>
      </c>
      <c r="AH216" s="5"/>
      <c r="AI216" s="10"/>
      <c r="AJ216" s="35"/>
      <c r="AK216" s="2">
        <v>1</v>
      </c>
      <c r="AL216" s="3">
        <v>100</v>
      </c>
      <c r="AM216" s="26">
        <v>118</v>
      </c>
      <c r="AN216" s="29">
        <v>0.38</v>
      </c>
      <c r="AO216" s="38">
        <v>1</v>
      </c>
      <c r="AP216" s="34">
        <v>10</v>
      </c>
      <c r="AQ216" s="2">
        <v>123.9</v>
      </c>
      <c r="AR216" s="29">
        <v>3.4</v>
      </c>
      <c r="AS216" s="28">
        <v>0.5</v>
      </c>
      <c r="AT216" s="13">
        <v>1</v>
      </c>
      <c r="AU216" s="29">
        <v>20</v>
      </c>
      <c r="AV216" s="2">
        <v>2</v>
      </c>
      <c r="AW216" s="2">
        <v>2</v>
      </c>
    </row>
    <row r="217" spans="1:49" x14ac:dyDescent="0.2">
      <c r="A217" s="3">
        <v>51</v>
      </c>
      <c r="B217" t="s">
        <v>25</v>
      </c>
      <c r="C217" s="2">
        <v>66.7</v>
      </c>
      <c r="D217" s="4">
        <v>2</v>
      </c>
      <c r="E217" s="4">
        <v>2</v>
      </c>
      <c r="F217" s="5"/>
      <c r="G217" s="5"/>
      <c r="H217">
        <v>1</v>
      </c>
      <c r="I217" t="s">
        <v>26</v>
      </c>
      <c r="J217" s="2">
        <v>1</v>
      </c>
      <c r="K217">
        <v>1</v>
      </c>
      <c r="M217" s="2">
        <v>3.3</v>
      </c>
      <c r="N217">
        <v>1</v>
      </c>
      <c r="O217">
        <v>1</v>
      </c>
      <c r="P217">
        <v>1</v>
      </c>
      <c r="T217" s="1"/>
      <c r="U217" s="1"/>
      <c r="V217" s="13"/>
      <c r="W217" s="1"/>
      <c r="Y217" s="4">
        <v>2</v>
      </c>
      <c r="Z217">
        <v>2</v>
      </c>
      <c r="AA217">
        <v>3</v>
      </c>
      <c r="AB217">
        <v>1</v>
      </c>
      <c r="AC217" s="2">
        <v>1</v>
      </c>
      <c r="AD217" s="19"/>
      <c r="AE217" s="2">
        <v>1</v>
      </c>
      <c r="AF217" s="2">
        <v>3</v>
      </c>
      <c r="AH217" s="9"/>
      <c r="AI217" s="10"/>
      <c r="AJ217" s="35"/>
      <c r="AK217" s="2">
        <v>1</v>
      </c>
      <c r="AL217" s="3">
        <v>100</v>
      </c>
      <c r="AM217" s="26">
        <v>118</v>
      </c>
      <c r="AN217" s="29">
        <v>3.6</v>
      </c>
      <c r="AO217" s="38">
        <v>2</v>
      </c>
      <c r="AP217" s="29">
        <v>134</v>
      </c>
      <c r="AQ217" s="2">
        <v>15.5</v>
      </c>
      <c r="AR217" s="32">
        <v>98</v>
      </c>
      <c r="AS217" s="28">
        <v>0.9</v>
      </c>
      <c r="AT217" s="13">
        <v>1</v>
      </c>
      <c r="AU217" s="29">
        <v>20</v>
      </c>
      <c r="AV217" s="2">
        <v>1</v>
      </c>
      <c r="AW217" s="2">
        <v>1</v>
      </c>
    </row>
    <row r="218" spans="1:49" x14ac:dyDescent="0.2">
      <c r="A218" s="3">
        <v>91</v>
      </c>
      <c r="B218" t="s">
        <v>25</v>
      </c>
      <c r="C218" s="2">
        <v>53.8</v>
      </c>
      <c r="D218" s="4">
        <v>2</v>
      </c>
      <c r="E218" s="4">
        <v>1</v>
      </c>
      <c r="F218" s="5">
        <v>1</v>
      </c>
      <c r="G218" s="5">
        <v>31.6</v>
      </c>
      <c r="H218">
        <v>2</v>
      </c>
      <c r="I218" t="s">
        <v>26</v>
      </c>
      <c r="J218" s="2">
        <v>1</v>
      </c>
      <c r="K218">
        <v>3</v>
      </c>
      <c r="M218" s="2">
        <v>0.7</v>
      </c>
      <c r="O218">
        <v>1</v>
      </c>
      <c r="P218">
        <v>1</v>
      </c>
      <c r="S218">
        <v>2</v>
      </c>
      <c r="T218" s="1"/>
      <c r="U218" s="1"/>
      <c r="V218" s="13"/>
      <c r="W218" s="1"/>
      <c r="Y218" s="4">
        <v>1</v>
      </c>
      <c r="Z218">
        <v>1</v>
      </c>
      <c r="AA218">
        <v>0</v>
      </c>
      <c r="AB218">
        <v>1</v>
      </c>
      <c r="AC218" s="2">
        <v>1</v>
      </c>
      <c r="AD218" s="19"/>
      <c r="AE218" s="2">
        <v>1</v>
      </c>
      <c r="AF218" s="2">
        <v>3</v>
      </c>
      <c r="AH218" s="9"/>
      <c r="AI218" s="10"/>
      <c r="AJ218" s="35"/>
      <c r="AK218" s="2">
        <v>1</v>
      </c>
      <c r="AL218" s="3">
        <v>100</v>
      </c>
      <c r="AM218" s="26">
        <v>118</v>
      </c>
      <c r="AN218" s="29">
        <v>5.33</v>
      </c>
      <c r="AO218" s="38">
        <v>1</v>
      </c>
      <c r="AP218" s="34">
        <v>10</v>
      </c>
      <c r="AQ218" s="2">
        <v>179.4</v>
      </c>
      <c r="AR218" s="29">
        <v>0.67</v>
      </c>
      <c r="AS218" s="28">
        <v>0.1</v>
      </c>
      <c r="AT218" s="13">
        <v>1</v>
      </c>
      <c r="AU218" s="29">
        <v>1.3</v>
      </c>
      <c r="AV218" s="2">
        <v>1</v>
      </c>
      <c r="AW218" s="2">
        <v>1</v>
      </c>
    </row>
    <row r="219" spans="1:49" x14ac:dyDescent="0.2">
      <c r="A219" s="3">
        <v>59</v>
      </c>
      <c r="B219" t="s">
        <v>25</v>
      </c>
      <c r="C219" s="2">
        <v>32.1</v>
      </c>
      <c r="D219" s="4">
        <v>2</v>
      </c>
      <c r="E219" s="4">
        <v>2</v>
      </c>
      <c r="F219" s="5">
        <v>1</v>
      </c>
      <c r="G219" s="5">
        <v>25.8</v>
      </c>
      <c r="H219">
        <v>1</v>
      </c>
      <c r="I219" t="s">
        <v>26</v>
      </c>
      <c r="J219" s="2">
        <v>1</v>
      </c>
      <c r="K219">
        <v>3</v>
      </c>
      <c r="M219" s="2">
        <v>0.7</v>
      </c>
      <c r="N219">
        <v>2</v>
      </c>
      <c r="O219">
        <v>2</v>
      </c>
      <c r="P219">
        <v>2</v>
      </c>
      <c r="Q219">
        <v>2</v>
      </c>
      <c r="R219">
        <v>2</v>
      </c>
      <c r="T219" s="1"/>
      <c r="U219" s="1"/>
      <c r="V219" s="13"/>
      <c r="W219" s="1"/>
      <c r="Y219" s="4">
        <v>2</v>
      </c>
      <c r="Z219">
        <v>1</v>
      </c>
      <c r="AA219">
        <v>3</v>
      </c>
      <c r="AB219">
        <v>1</v>
      </c>
      <c r="AC219" s="2">
        <v>1</v>
      </c>
      <c r="AD219" s="19"/>
      <c r="AE219" s="2">
        <v>2</v>
      </c>
      <c r="AF219" s="2">
        <v>2</v>
      </c>
      <c r="AH219" s="9"/>
      <c r="AI219" s="10"/>
      <c r="AJ219" s="35"/>
      <c r="AK219" s="2">
        <v>1</v>
      </c>
      <c r="AL219" s="3">
        <v>30</v>
      </c>
      <c r="AM219" s="26">
        <v>118</v>
      </c>
      <c r="AN219" s="28">
        <v>12.6</v>
      </c>
      <c r="AO219" s="38">
        <v>1</v>
      </c>
      <c r="AP219" s="34">
        <v>10</v>
      </c>
      <c r="AQ219" s="2">
        <v>134.80000000000001</v>
      </c>
      <c r="AR219" s="29">
        <v>3.09</v>
      </c>
      <c r="AS219" s="28">
        <v>0.1</v>
      </c>
      <c r="AT219" s="13">
        <v>1</v>
      </c>
      <c r="AU219" s="29">
        <v>20</v>
      </c>
      <c r="AV219" s="2">
        <v>1</v>
      </c>
      <c r="AW219" s="2">
        <v>1</v>
      </c>
    </row>
    <row r="220" spans="1:49" x14ac:dyDescent="0.2">
      <c r="A220" s="3">
        <v>464</v>
      </c>
      <c r="B220" t="s">
        <v>25</v>
      </c>
      <c r="C220" s="2">
        <v>35.299999999999997</v>
      </c>
      <c r="D220" s="4">
        <v>2</v>
      </c>
      <c r="E220" s="4">
        <v>2</v>
      </c>
      <c r="F220" s="5">
        <v>1</v>
      </c>
      <c r="G220" s="5"/>
      <c r="H220">
        <v>1</v>
      </c>
      <c r="I220" t="s">
        <v>26</v>
      </c>
      <c r="J220" s="2">
        <v>1</v>
      </c>
      <c r="K220">
        <v>1</v>
      </c>
      <c r="M220" s="2">
        <v>3.2</v>
      </c>
      <c r="N220">
        <v>2</v>
      </c>
      <c r="O220">
        <v>2</v>
      </c>
      <c r="P220">
        <v>2</v>
      </c>
      <c r="S220">
        <v>2</v>
      </c>
      <c r="T220" s="1"/>
      <c r="U220" s="1"/>
      <c r="V220" s="13"/>
      <c r="W220" s="1"/>
      <c r="Y220" s="4"/>
      <c r="Z220">
        <v>2</v>
      </c>
      <c r="AA220">
        <v>0</v>
      </c>
      <c r="AB220">
        <v>1</v>
      </c>
      <c r="AC220" s="2">
        <v>1</v>
      </c>
      <c r="AD220" s="19"/>
      <c r="AE220" s="2">
        <v>2</v>
      </c>
      <c r="AF220" s="2">
        <v>2</v>
      </c>
      <c r="AH220" s="9"/>
      <c r="AI220" s="10"/>
      <c r="AJ220" s="35"/>
      <c r="AK220" s="2">
        <v>1</v>
      </c>
      <c r="AL220" s="3">
        <v>30</v>
      </c>
      <c r="AM220" s="26">
        <v>119</v>
      </c>
      <c r="AN220" s="29">
        <v>149</v>
      </c>
      <c r="AO220" s="39"/>
      <c r="AP220" s="28"/>
      <c r="AQ220" s="2">
        <v>69.099999999999994</v>
      </c>
      <c r="AR220" s="29">
        <v>0.85</v>
      </c>
      <c r="AS220" s="28">
        <v>9.68</v>
      </c>
      <c r="AT220" s="13">
        <v>1</v>
      </c>
      <c r="AU220" s="29">
        <v>14</v>
      </c>
      <c r="AV220" s="2">
        <v>1</v>
      </c>
      <c r="AW220" s="2">
        <v>1</v>
      </c>
    </row>
    <row r="221" spans="1:49" x14ac:dyDescent="0.2">
      <c r="A221" s="3">
        <v>230</v>
      </c>
      <c r="B221" t="s">
        <v>25</v>
      </c>
      <c r="C221" s="2">
        <v>49.3</v>
      </c>
      <c r="D221" s="4">
        <v>2</v>
      </c>
      <c r="E221" s="4">
        <v>2</v>
      </c>
      <c r="F221" s="5">
        <v>1</v>
      </c>
      <c r="G221" s="5">
        <v>27</v>
      </c>
      <c r="H221">
        <v>1</v>
      </c>
      <c r="I221" t="s">
        <v>26</v>
      </c>
      <c r="J221" s="2">
        <v>1</v>
      </c>
      <c r="K221">
        <v>1</v>
      </c>
      <c r="M221" s="2">
        <v>2</v>
      </c>
      <c r="N221">
        <v>2</v>
      </c>
      <c r="O221">
        <v>1</v>
      </c>
      <c r="P221">
        <v>1</v>
      </c>
      <c r="Q221">
        <v>2</v>
      </c>
      <c r="R221">
        <v>2</v>
      </c>
      <c r="S221">
        <v>2</v>
      </c>
      <c r="T221" s="1"/>
      <c r="U221" s="1"/>
      <c r="V221" s="13"/>
      <c r="W221" s="1"/>
      <c r="Y221" s="4">
        <v>2</v>
      </c>
      <c r="Z221">
        <v>1</v>
      </c>
      <c r="AA221">
        <v>0</v>
      </c>
      <c r="AB221">
        <v>1</v>
      </c>
      <c r="AC221" s="2">
        <v>1</v>
      </c>
      <c r="AD221" s="19"/>
      <c r="AE221" s="2">
        <v>2</v>
      </c>
      <c r="AF221" s="2">
        <v>3</v>
      </c>
      <c r="AH221" s="5"/>
      <c r="AI221" s="10"/>
      <c r="AJ221" s="35"/>
      <c r="AK221" s="2">
        <v>1</v>
      </c>
      <c r="AL221" s="3">
        <v>100</v>
      </c>
      <c r="AM221" s="26">
        <v>120</v>
      </c>
      <c r="AN221" s="29">
        <v>4.2699999999999996</v>
      </c>
      <c r="AO221" s="38">
        <v>1</v>
      </c>
      <c r="AP221" s="34">
        <v>10</v>
      </c>
      <c r="AQ221" s="2">
        <v>173</v>
      </c>
      <c r="AR221" s="29">
        <v>6.71</v>
      </c>
      <c r="AS221" s="28">
        <v>0.1</v>
      </c>
      <c r="AT221" s="13">
        <v>1</v>
      </c>
      <c r="AU221" s="29">
        <v>0.3</v>
      </c>
      <c r="AV221" s="2">
        <v>1</v>
      </c>
      <c r="AW221" s="2">
        <v>1</v>
      </c>
    </row>
    <row r="222" spans="1:49" x14ac:dyDescent="0.2">
      <c r="A222" s="3">
        <v>71</v>
      </c>
      <c r="B222" t="s">
        <v>27</v>
      </c>
      <c r="C222" s="2">
        <v>71.8</v>
      </c>
      <c r="D222" s="4">
        <v>2</v>
      </c>
      <c r="E222" s="4">
        <v>2</v>
      </c>
      <c r="F222" s="5">
        <v>1</v>
      </c>
      <c r="G222" s="5">
        <v>34.9</v>
      </c>
      <c r="H222">
        <v>1</v>
      </c>
      <c r="I222" t="s">
        <v>26</v>
      </c>
      <c r="J222" s="2">
        <v>1</v>
      </c>
      <c r="K222">
        <v>3</v>
      </c>
      <c r="M222" s="2">
        <v>0.8</v>
      </c>
      <c r="N222">
        <v>2</v>
      </c>
      <c r="O222">
        <v>2</v>
      </c>
      <c r="P222">
        <v>2</v>
      </c>
      <c r="Q222">
        <v>2</v>
      </c>
      <c r="R222">
        <v>2</v>
      </c>
      <c r="T222" s="1"/>
      <c r="U222" s="1"/>
      <c r="V222" s="13"/>
      <c r="W222" s="1"/>
      <c r="Y222" s="4">
        <v>2</v>
      </c>
      <c r="Z222">
        <v>1</v>
      </c>
      <c r="AA222">
        <v>3</v>
      </c>
      <c r="AB222">
        <v>1</v>
      </c>
      <c r="AC222" s="2">
        <v>1</v>
      </c>
      <c r="AD222" s="19"/>
      <c r="AE222" s="2">
        <v>2</v>
      </c>
      <c r="AF222" s="2">
        <v>2</v>
      </c>
      <c r="AH222" s="9"/>
      <c r="AI222" s="10"/>
      <c r="AJ222" s="35"/>
      <c r="AK222" s="2">
        <v>1</v>
      </c>
      <c r="AL222" s="3">
        <v>30</v>
      </c>
      <c r="AM222" s="26">
        <v>121</v>
      </c>
      <c r="AN222" s="28">
        <v>1.3</v>
      </c>
      <c r="AO222" s="38">
        <v>1</v>
      </c>
      <c r="AP222" s="34">
        <v>10</v>
      </c>
      <c r="AQ222" s="2">
        <v>67.8</v>
      </c>
      <c r="AR222" s="32">
        <v>0.09</v>
      </c>
      <c r="AS222" s="34">
        <v>0.1</v>
      </c>
      <c r="AT222" s="13">
        <v>1</v>
      </c>
      <c r="AU222" s="29">
        <v>0.9</v>
      </c>
      <c r="AV222" s="2">
        <v>1</v>
      </c>
      <c r="AW222" s="2">
        <v>1</v>
      </c>
    </row>
    <row r="223" spans="1:49" x14ac:dyDescent="0.2">
      <c r="A223" s="3">
        <v>314</v>
      </c>
      <c r="B223" t="s">
        <v>25</v>
      </c>
      <c r="C223" s="2">
        <v>59</v>
      </c>
      <c r="D223" s="4">
        <v>2</v>
      </c>
      <c r="E223" s="4">
        <v>2</v>
      </c>
      <c r="F223" s="5"/>
      <c r="G223" s="5">
        <v>35.200000000000003</v>
      </c>
      <c r="H223">
        <v>2</v>
      </c>
      <c r="I223" t="s">
        <v>28</v>
      </c>
      <c r="J223" s="2">
        <v>1</v>
      </c>
      <c r="K223">
        <v>3</v>
      </c>
      <c r="M223" s="2">
        <v>1.9</v>
      </c>
      <c r="N223">
        <v>2</v>
      </c>
      <c r="O223">
        <v>2</v>
      </c>
      <c r="P223">
        <v>2</v>
      </c>
      <c r="S223">
        <v>2</v>
      </c>
      <c r="T223" s="1"/>
      <c r="U223" s="1"/>
      <c r="V223" s="13"/>
      <c r="W223" s="1"/>
      <c r="Y223" s="4">
        <v>1</v>
      </c>
      <c r="Z223">
        <v>1</v>
      </c>
      <c r="AA223">
        <v>0</v>
      </c>
      <c r="AB223">
        <v>1</v>
      </c>
      <c r="AC223" s="2">
        <v>1</v>
      </c>
      <c r="AD223" s="19"/>
      <c r="AE223" s="2">
        <v>2</v>
      </c>
      <c r="AF223" s="2">
        <v>2</v>
      </c>
      <c r="AH223" s="9"/>
      <c r="AI223" s="10"/>
      <c r="AJ223" s="35"/>
      <c r="AK223" s="2">
        <v>1</v>
      </c>
      <c r="AL223" s="3">
        <v>100</v>
      </c>
      <c r="AM223" s="26">
        <v>121</v>
      </c>
      <c r="AN223" s="29">
        <v>4.7</v>
      </c>
      <c r="AO223" s="38">
        <v>1</v>
      </c>
      <c r="AP223" s="34">
        <v>10</v>
      </c>
      <c r="AQ223" s="2">
        <v>69.3</v>
      </c>
      <c r="AR223" s="29">
        <v>7.0000000000000007E-2</v>
      </c>
      <c r="AS223" s="28">
        <v>2.59</v>
      </c>
      <c r="AT223" s="13">
        <v>1</v>
      </c>
      <c r="AU223" s="29">
        <v>20</v>
      </c>
      <c r="AV223" s="2">
        <v>3</v>
      </c>
      <c r="AW223" s="2">
        <v>3</v>
      </c>
    </row>
    <row r="224" spans="1:49" x14ac:dyDescent="0.2">
      <c r="A224" s="3">
        <v>112</v>
      </c>
      <c r="B224" t="s">
        <v>25</v>
      </c>
      <c r="C224" s="2">
        <v>55.8</v>
      </c>
      <c r="D224" s="4">
        <v>2</v>
      </c>
      <c r="E224" s="4">
        <v>2</v>
      </c>
      <c r="F224" s="5">
        <v>2</v>
      </c>
      <c r="G224" s="5">
        <v>20.3</v>
      </c>
      <c r="H224">
        <v>1</v>
      </c>
      <c r="I224" t="s">
        <v>26</v>
      </c>
      <c r="J224" s="2">
        <v>1</v>
      </c>
      <c r="K224">
        <v>3</v>
      </c>
      <c r="M224" s="2">
        <v>1.1000000000000001</v>
      </c>
      <c r="N224">
        <v>2</v>
      </c>
      <c r="O224">
        <v>1</v>
      </c>
      <c r="P224">
        <v>2</v>
      </c>
      <c r="Q224">
        <v>1</v>
      </c>
      <c r="R224">
        <v>2</v>
      </c>
      <c r="S224">
        <v>1</v>
      </c>
      <c r="T224" s="3">
        <v>5</v>
      </c>
      <c r="U224" s="3">
        <v>1</v>
      </c>
      <c r="V224" s="13">
        <v>20</v>
      </c>
      <c r="W224" s="2">
        <v>0.6</v>
      </c>
      <c r="X224">
        <v>2</v>
      </c>
      <c r="Y224" s="4">
        <v>1</v>
      </c>
      <c r="Z224">
        <v>1</v>
      </c>
      <c r="AA224">
        <v>1</v>
      </c>
      <c r="AB224">
        <v>1</v>
      </c>
      <c r="AC224" s="2">
        <v>2</v>
      </c>
      <c r="AD224" s="19"/>
      <c r="AE224" s="2">
        <v>2</v>
      </c>
      <c r="AF224" s="2">
        <v>3</v>
      </c>
      <c r="AG224" s="13">
        <v>5.59</v>
      </c>
      <c r="AH224" s="13">
        <v>0.1</v>
      </c>
      <c r="AI224" s="4">
        <v>1</v>
      </c>
      <c r="AJ224" s="24">
        <v>10</v>
      </c>
      <c r="AK224" s="2">
        <v>1</v>
      </c>
      <c r="AL224" s="3">
        <v>100</v>
      </c>
      <c r="AM224" s="26">
        <v>6.65</v>
      </c>
      <c r="AN224" s="29">
        <v>0.1</v>
      </c>
      <c r="AO224" s="38">
        <v>1</v>
      </c>
      <c r="AP224" s="34">
        <v>10</v>
      </c>
      <c r="AQ224" s="2">
        <v>56.2</v>
      </c>
      <c r="AR224" s="29">
        <v>2.65</v>
      </c>
      <c r="AS224" s="28">
        <v>0.1</v>
      </c>
      <c r="AT224" s="13">
        <v>1</v>
      </c>
      <c r="AU224" s="29">
        <v>20</v>
      </c>
      <c r="AV224" s="2">
        <v>1</v>
      </c>
      <c r="AW224" s="2">
        <v>1</v>
      </c>
    </row>
    <row r="225" spans="1:49" x14ac:dyDescent="0.2">
      <c r="A225" s="3">
        <v>46</v>
      </c>
      <c r="B225" t="s">
        <v>25</v>
      </c>
      <c r="C225" s="2">
        <v>49.1</v>
      </c>
      <c r="D225" s="4">
        <v>1</v>
      </c>
      <c r="E225" s="4">
        <v>2</v>
      </c>
      <c r="F225" s="5">
        <v>1</v>
      </c>
      <c r="G225" s="5">
        <v>27.2</v>
      </c>
      <c r="H225">
        <v>1</v>
      </c>
      <c r="I225" t="s">
        <v>28</v>
      </c>
      <c r="J225" s="2">
        <v>1</v>
      </c>
      <c r="K225">
        <v>4</v>
      </c>
      <c r="M225" s="2">
        <v>2</v>
      </c>
      <c r="N225">
        <v>2</v>
      </c>
      <c r="O225">
        <v>2</v>
      </c>
      <c r="P225">
        <v>2</v>
      </c>
      <c r="Q225">
        <v>1</v>
      </c>
      <c r="R225">
        <v>2</v>
      </c>
      <c r="S225">
        <v>1</v>
      </c>
      <c r="T225" s="3">
        <v>8</v>
      </c>
      <c r="U225" s="3">
        <v>2</v>
      </c>
      <c r="V225" s="13">
        <v>25</v>
      </c>
      <c r="W225" s="2">
        <v>0.7</v>
      </c>
      <c r="X225">
        <v>2</v>
      </c>
      <c r="Y225" s="4">
        <v>2</v>
      </c>
      <c r="Z225">
        <v>1</v>
      </c>
      <c r="AA225">
        <v>1</v>
      </c>
      <c r="AB225">
        <v>1</v>
      </c>
      <c r="AC225" s="2">
        <v>1</v>
      </c>
      <c r="AD225" s="6">
        <v>0</v>
      </c>
      <c r="AE225" s="2">
        <v>2</v>
      </c>
      <c r="AF225" s="2">
        <v>3</v>
      </c>
      <c r="AG225" s="13">
        <v>0.73</v>
      </c>
      <c r="AH225" s="15">
        <v>0.1</v>
      </c>
      <c r="AI225" s="4">
        <v>1</v>
      </c>
      <c r="AJ225" s="24">
        <v>10</v>
      </c>
      <c r="AK225" s="2">
        <v>1</v>
      </c>
      <c r="AL225" s="3">
        <v>30</v>
      </c>
      <c r="AM225" s="26">
        <v>85.13</v>
      </c>
      <c r="AN225" s="28">
        <v>0.1</v>
      </c>
      <c r="AO225" s="38">
        <v>1</v>
      </c>
      <c r="AP225" s="34">
        <v>10</v>
      </c>
      <c r="AQ225" s="2">
        <v>47</v>
      </c>
      <c r="AR225" s="29">
        <v>0.62</v>
      </c>
      <c r="AS225" s="28">
        <v>0.1</v>
      </c>
      <c r="AT225" s="13">
        <v>1</v>
      </c>
      <c r="AU225" s="29">
        <v>1.3</v>
      </c>
      <c r="AV225" s="2">
        <v>1</v>
      </c>
      <c r="AW225" s="2">
        <v>1</v>
      </c>
    </row>
    <row r="226" spans="1:49" x14ac:dyDescent="0.2">
      <c r="A226" s="3">
        <v>13</v>
      </c>
      <c r="B226" t="s">
        <v>25</v>
      </c>
      <c r="C226" s="2">
        <v>43</v>
      </c>
      <c r="D226" s="4">
        <v>2</v>
      </c>
      <c r="E226" s="4">
        <v>2</v>
      </c>
      <c r="F226" s="5">
        <v>1</v>
      </c>
      <c r="G226" s="5">
        <v>36.9</v>
      </c>
      <c r="H226">
        <v>1</v>
      </c>
      <c r="I226" t="s">
        <v>26</v>
      </c>
      <c r="J226" s="2">
        <v>1</v>
      </c>
      <c r="K226">
        <v>3</v>
      </c>
      <c r="M226" s="2">
        <v>2</v>
      </c>
      <c r="N226">
        <v>1</v>
      </c>
      <c r="O226">
        <v>2</v>
      </c>
      <c r="P226">
        <v>2</v>
      </c>
      <c r="Q226">
        <v>2</v>
      </c>
      <c r="R226">
        <v>2</v>
      </c>
      <c r="T226" s="1"/>
      <c r="U226" s="1"/>
      <c r="V226" s="13"/>
      <c r="W226" s="1"/>
      <c r="Y226" s="4">
        <v>2</v>
      </c>
      <c r="Z226">
        <v>1</v>
      </c>
      <c r="AA226">
        <v>3</v>
      </c>
      <c r="AB226">
        <v>1</v>
      </c>
      <c r="AC226" s="2">
        <v>1</v>
      </c>
      <c r="AD226" s="19"/>
      <c r="AE226" s="2">
        <v>1</v>
      </c>
      <c r="AF226" s="2">
        <v>1</v>
      </c>
      <c r="AH226" s="9"/>
      <c r="AI226" s="10"/>
      <c r="AJ226" s="35"/>
      <c r="AK226" s="2">
        <v>1</v>
      </c>
      <c r="AL226" s="3">
        <v>30</v>
      </c>
      <c r="AM226" s="26">
        <v>125</v>
      </c>
      <c r="AN226" s="29">
        <v>2</v>
      </c>
      <c r="AO226" s="38">
        <v>1</v>
      </c>
      <c r="AP226" s="34">
        <v>10</v>
      </c>
      <c r="AQ226" s="2">
        <v>23.2</v>
      </c>
      <c r="AR226" s="29">
        <v>0.1</v>
      </c>
      <c r="AS226" s="34">
        <v>0.1</v>
      </c>
      <c r="AT226" s="13">
        <v>1</v>
      </c>
      <c r="AU226" s="29">
        <v>20</v>
      </c>
      <c r="AV226" s="2">
        <v>1</v>
      </c>
      <c r="AW226" s="2">
        <v>1</v>
      </c>
    </row>
    <row r="227" spans="1:49" x14ac:dyDescent="0.2">
      <c r="A227" s="3">
        <v>275</v>
      </c>
      <c r="B227" t="s">
        <v>25</v>
      </c>
      <c r="C227" s="2">
        <v>40.4</v>
      </c>
      <c r="D227" s="4">
        <v>2</v>
      </c>
      <c r="E227" s="4">
        <v>2</v>
      </c>
      <c r="F227" s="5">
        <v>1</v>
      </c>
      <c r="G227" s="5">
        <v>36.9</v>
      </c>
      <c r="H227">
        <v>2</v>
      </c>
      <c r="I227" t="s">
        <v>26</v>
      </c>
      <c r="J227" s="2">
        <v>1</v>
      </c>
      <c r="K227">
        <v>1</v>
      </c>
      <c r="M227" s="2">
        <v>2.4</v>
      </c>
      <c r="N227">
        <v>2</v>
      </c>
      <c r="O227">
        <v>1</v>
      </c>
      <c r="P227">
        <v>2</v>
      </c>
      <c r="Q227">
        <v>1</v>
      </c>
      <c r="S227">
        <v>1</v>
      </c>
      <c r="T227" s="3">
        <v>7</v>
      </c>
      <c r="U227" s="3">
        <v>4</v>
      </c>
      <c r="V227" s="13">
        <v>57.14</v>
      </c>
      <c r="W227" s="2">
        <v>0.7</v>
      </c>
      <c r="X227">
        <v>2</v>
      </c>
      <c r="Y227" s="4">
        <v>1</v>
      </c>
      <c r="Z227">
        <v>2</v>
      </c>
      <c r="AA227">
        <v>1</v>
      </c>
      <c r="AB227">
        <v>1</v>
      </c>
      <c r="AC227" s="2">
        <v>1</v>
      </c>
      <c r="AD227" s="19"/>
      <c r="AE227" s="2">
        <v>2</v>
      </c>
      <c r="AF227" s="2">
        <v>3</v>
      </c>
      <c r="AG227" s="13">
        <v>12.75</v>
      </c>
      <c r="AH227" s="24">
        <v>0.1</v>
      </c>
      <c r="AI227" s="4">
        <v>1</v>
      </c>
      <c r="AJ227" s="24">
        <v>10</v>
      </c>
      <c r="AK227" s="2">
        <v>1</v>
      </c>
      <c r="AL227" s="3">
        <v>50</v>
      </c>
      <c r="AM227" s="26"/>
      <c r="AN227" s="29"/>
      <c r="AO227" s="39"/>
      <c r="AP227" s="28"/>
      <c r="AQ227" s="2">
        <v>112.4</v>
      </c>
      <c r="AR227" s="29">
        <v>0.21</v>
      </c>
      <c r="AS227" s="34">
        <f>0.1/2</f>
        <v>0.05</v>
      </c>
      <c r="AT227" s="13">
        <v>1</v>
      </c>
      <c r="AU227" s="29">
        <v>2.5</v>
      </c>
      <c r="AV227" s="2">
        <v>1</v>
      </c>
      <c r="AW227" s="2">
        <v>1</v>
      </c>
    </row>
    <row r="228" spans="1:49" x14ac:dyDescent="0.2">
      <c r="A228" s="3">
        <v>270</v>
      </c>
      <c r="B228" t="s">
        <v>25</v>
      </c>
      <c r="C228" s="2">
        <v>57.9</v>
      </c>
      <c r="D228" s="4">
        <v>2</v>
      </c>
      <c r="E228" s="4">
        <v>2</v>
      </c>
      <c r="F228" s="5">
        <v>1</v>
      </c>
      <c r="G228" s="5">
        <v>30.2</v>
      </c>
      <c r="H228">
        <v>1</v>
      </c>
      <c r="I228" t="s">
        <v>26</v>
      </c>
      <c r="J228" s="2">
        <v>1</v>
      </c>
      <c r="K228">
        <v>1</v>
      </c>
      <c r="M228" s="2">
        <v>2.7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 s="1"/>
      <c r="U228" s="1"/>
      <c r="V228" s="13"/>
      <c r="W228" s="1"/>
      <c r="Y228" s="4">
        <v>2</v>
      </c>
      <c r="Z228">
        <v>2</v>
      </c>
      <c r="AA228">
        <v>0</v>
      </c>
      <c r="AB228">
        <v>1</v>
      </c>
      <c r="AC228" s="2">
        <v>1</v>
      </c>
      <c r="AD228" s="19"/>
      <c r="AE228" s="2">
        <v>2</v>
      </c>
      <c r="AF228" s="2">
        <v>2</v>
      </c>
      <c r="AH228" s="5"/>
      <c r="AI228" s="10"/>
      <c r="AJ228" s="35"/>
      <c r="AK228" s="2">
        <v>1</v>
      </c>
      <c r="AL228" s="3">
        <v>100</v>
      </c>
      <c r="AM228" s="26">
        <v>130</v>
      </c>
      <c r="AN228" s="29">
        <v>0.1</v>
      </c>
      <c r="AO228" s="38">
        <v>1</v>
      </c>
      <c r="AP228" s="34">
        <v>10</v>
      </c>
      <c r="AQ228" s="2">
        <v>72.3</v>
      </c>
      <c r="AR228" s="29">
        <v>1.35</v>
      </c>
      <c r="AS228" s="34">
        <f>0.1/2</f>
        <v>0.05</v>
      </c>
      <c r="AT228" s="13">
        <v>1</v>
      </c>
      <c r="AU228" s="29">
        <v>20</v>
      </c>
      <c r="AV228" s="2">
        <v>1</v>
      </c>
      <c r="AW228" s="2">
        <v>1</v>
      </c>
    </row>
    <row r="229" spans="1:49" x14ac:dyDescent="0.2">
      <c r="A229" s="3">
        <v>190</v>
      </c>
      <c r="B229" t="s">
        <v>25</v>
      </c>
      <c r="C229" s="2">
        <v>39.4</v>
      </c>
      <c r="D229" s="6">
        <v>2</v>
      </c>
      <c r="E229" s="6">
        <v>2</v>
      </c>
      <c r="F229" s="7">
        <v>1</v>
      </c>
      <c r="G229" s="7">
        <v>30.4</v>
      </c>
      <c r="H229">
        <v>2</v>
      </c>
      <c r="I229" t="s">
        <v>26</v>
      </c>
      <c r="J229" s="2">
        <v>1</v>
      </c>
      <c r="K229">
        <v>1</v>
      </c>
      <c r="M229" s="2">
        <v>1</v>
      </c>
      <c r="N229">
        <v>1</v>
      </c>
      <c r="O229">
        <v>2</v>
      </c>
      <c r="P229">
        <v>2</v>
      </c>
      <c r="Q229">
        <v>1</v>
      </c>
      <c r="R229">
        <v>2</v>
      </c>
      <c r="S229">
        <v>1</v>
      </c>
      <c r="T229" s="3">
        <v>81</v>
      </c>
      <c r="U229" s="3">
        <v>22</v>
      </c>
      <c r="V229" s="14">
        <v>27.16</v>
      </c>
      <c r="W229" s="2">
        <v>2.2999999999999998</v>
      </c>
      <c r="X229">
        <v>1</v>
      </c>
      <c r="Y229" s="6">
        <v>1</v>
      </c>
      <c r="Z229">
        <v>1</v>
      </c>
      <c r="AA229">
        <v>1</v>
      </c>
      <c r="AB229">
        <v>1</v>
      </c>
      <c r="AC229" s="2">
        <v>1</v>
      </c>
      <c r="AD229" s="6">
        <v>1</v>
      </c>
      <c r="AE229" s="2">
        <v>2</v>
      </c>
      <c r="AF229" s="2">
        <v>4</v>
      </c>
      <c r="AG229" s="14">
        <v>0.01</v>
      </c>
      <c r="AH229" s="17">
        <v>0.3</v>
      </c>
      <c r="AI229" s="6">
        <v>1</v>
      </c>
      <c r="AJ229" s="17">
        <v>10</v>
      </c>
      <c r="AK229" s="2">
        <v>1</v>
      </c>
      <c r="AL229" s="1"/>
      <c r="AM229" s="27">
        <v>150</v>
      </c>
      <c r="AN229" s="32">
        <v>58</v>
      </c>
      <c r="AO229" s="40">
        <v>1</v>
      </c>
      <c r="AP229" s="31">
        <v>10</v>
      </c>
      <c r="AQ229" s="2">
        <v>44.7</v>
      </c>
      <c r="AR229" s="32">
        <v>0.37</v>
      </c>
      <c r="AS229" s="31">
        <v>0.1</v>
      </c>
      <c r="AT229" s="14">
        <v>2</v>
      </c>
      <c r="AU229" s="32">
        <v>65</v>
      </c>
      <c r="AV229" s="2">
        <v>3</v>
      </c>
      <c r="AW229" s="2">
        <v>3</v>
      </c>
    </row>
    <row r="230" spans="1:49" x14ac:dyDescent="0.2">
      <c r="A230" s="3">
        <v>311</v>
      </c>
      <c r="B230" t="s">
        <v>25</v>
      </c>
      <c r="C230" s="2">
        <v>43.2</v>
      </c>
      <c r="D230" s="4">
        <v>2</v>
      </c>
      <c r="E230" s="4">
        <v>2</v>
      </c>
      <c r="F230" s="5">
        <v>1</v>
      </c>
      <c r="G230" s="5">
        <v>29.1</v>
      </c>
      <c r="H230">
        <v>1</v>
      </c>
      <c r="I230" t="s">
        <v>26</v>
      </c>
      <c r="J230" s="2">
        <v>1</v>
      </c>
      <c r="K230">
        <v>3</v>
      </c>
      <c r="M230" s="2">
        <v>4.5</v>
      </c>
      <c r="N230">
        <v>1</v>
      </c>
      <c r="O230">
        <v>2</v>
      </c>
      <c r="P230">
        <v>2</v>
      </c>
      <c r="Q230">
        <v>2</v>
      </c>
      <c r="R230">
        <v>2</v>
      </c>
      <c r="S230">
        <v>2</v>
      </c>
      <c r="T230" s="1"/>
      <c r="U230" s="1"/>
      <c r="V230" s="13"/>
      <c r="W230" s="1"/>
      <c r="Y230" s="4">
        <v>1</v>
      </c>
      <c r="Z230">
        <v>3</v>
      </c>
      <c r="AA230">
        <v>0</v>
      </c>
      <c r="AB230">
        <v>1</v>
      </c>
      <c r="AC230" s="2">
        <v>1</v>
      </c>
      <c r="AD230" s="19"/>
      <c r="AE230" s="2">
        <v>1</v>
      </c>
      <c r="AF230" s="2">
        <v>2</v>
      </c>
      <c r="AH230" s="5"/>
      <c r="AI230" s="10"/>
      <c r="AJ230" s="35"/>
      <c r="AK230" s="2">
        <v>1</v>
      </c>
      <c r="AL230" s="3">
        <v>100</v>
      </c>
      <c r="AM230" s="26">
        <v>133</v>
      </c>
      <c r="AN230" s="29">
        <v>0.1</v>
      </c>
      <c r="AO230" s="38">
        <v>1</v>
      </c>
      <c r="AP230" s="29">
        <v>30.6</v>
      </c>
      <c r="AQ230" s="2">
        <v>94.8</v>
      </c>
      <c r="AR230" s="29">
        <v>0.98</v>
      </c>
      <c r="AS230" s="34">
        <v>0.05</v>
      </c>
      <c r="AT230" s="13">
        <v>1</v>
      </c>
      <c r="AU230" s="29">
        <v>20</v>
      </c>
      <c r="AV230" s="2">
        <v>1</v>
      </c>
      <c r="AW230" s="2">
        <v>1</v>
      </c>
    </row>
    <row r="231" spans="1:49" x14ac:dyDescent="0.2">
      <c r="A231" s="3">
        <v>287</v>
      </c>
      <c r="B231" t="s">
        <v>25</v>
      </c>
      <c r="C231" s="2">
        <v>43.4</v>
      </c>
      <c r="D231" s="4">
        <v>2</v>
      </c>
      <c r="E231" s="4">
        <v>2</v>
      </c>
      <c r="F231" s="5"/>
      <c r="G231" s="5">
        <v>33.299999999999997</v>
      </c>
      <c r="H231">
        <v>1</v>
      </c>
      <c r="I231" t="s">
        <v>26</v>
      </c>
      <c r="J231" s="2">
        <v>1</v>
      </c>
      <c r="K231">
        <v>1</v>
      </c>
      <c r="M231" s="2">
        <v>1.2</v>
      </c>
      <c r="N231">
        <v>2</v>
      </c>
      <c r="O231">
        <v>1</v>
      </c>
      <c r="P231">
        <v>1</v>
      </c>
      <c r="T231" s="1"/>
      <c r="U231" s="1"/>
      <c r="V231" s="13"/>
      <c r="W231" s="1"/>
      <c r="Y231" s="4"/>
      <c r="Z231">
        <v>1</v>
      </c>
      <c r="AA231">
        <v>3</v>
      </c>
      <c r="AB231">
        <v>1</v>
      </c>
      <c r="AC231" s="2">
        <v>1</v>
      </c>
      <c r="AD231" s="19"/>
      <c r="AE231" s="2">
        <v>2</v>
      </c>
      <c r="AF231" s="2">
        <v>3</v>
      </c>
      <c r="AH231" s="5"/>
      <c r="AI231" s="10"/>
      <c r="AJ231" s="35"/>
      <c r="AK231" s="2">
        <v>1</v>
      </c>
      <c r="AL231" s="3">
        <v>100</v>
      </c>
      <c r="AM231" s="26">
        <v>138</v>
      </c>
      <c r="AN231" s="29">
        <v>0.1</v>
      </c>
      <c r="AO231" s="39"/>
      <c r="AP231" s="28"/>
      <c r="AQ231" s="2">
        <v>164</v>
      </c>
      <c r="AR231" s="29">
        <v>2.1800000000000002</v>
      </c>
      <c r="AS231" s="28">
        <v>0.1</v>
      </c>
      <c r="AT231" s="13">
        <v>1</v>
      </c>
      <c r="AU231" s="29">
        <v>20</v>
      </c>
      <c r="AV231" s="2">
        <v>1</v>
      </c>
      <c r="AW231" s="2">
        <v>1</v>
      </c>
    </row>
    <row r="232" spans="1:49" x14ac:dyDescent="0.2">
      <c r="A232" s="3">
        <v>86</v>
      </c>
      <c r="B232" t="s">
        <v>27</v>
      </c>
      <c r="C232" s="2">
        <v>39</v>
      </c>
      <c r="D232" s="4">
        <v>2</v>
      </c>
      <c r="E232" s="4">
        <v>2</v>
      </c>
      <c r="F232" s="5">
        <v>1</v>
      </c>
      <c r="G232" s="5">
        <v>20.100000000000001</v>
      </c>
      <c r="H232">
        <v>1</v>
      </c>
      <c r="I232" t="s">
        <v>28</v>
      </c>
      <c r="J232" s="2">
        <v>1</v>
      </c>
      <c r="K232">
        <v>1</v>
      </c>
      <c r="M232" s="2">
        <v>0.6</v>
      </c>
      <c r="N232">
        <v>1</v>
      </c>
      <c r="O232">
        <v>1</v>
      </c>
      <c r="P232">
        <v>2</v>
      </c>
      <c r="Q232">
        <v>2</v>
      </c>
      <c r="R232">
        <v>2</v>
      </c>
      <c r="S232">
        <v>2</v>
      </c>
      <c r="T232" s="1"/>
      <c r="U232" s="1"/>
      <c r="V232" s="13"/>
      <c r="W232" s="1"/>
      <c r="Y232" s="4">
        <v>1</v>
      </c>
      <c r="Z232">
        <v>1</v>
      </c>
      <c r="AA232">
        <v>0</v>
      </c>
      <c r="AB232">
        <v>1</v>
      </c>
      <c r="AC232" s="2">
        <v>1</v>
      </c>
      <c r="AD232" s="19"/>
      <c r="AE232" s="2">
        <v>2</v>
      </c>
      <c r="AF232" s="2">
        <v>2</v>
      </c>
      <c r="AH232" s="9"/>
      <c r="AI232" s="10"/>
      <c r="AJ232" s="35"/>
      <c r="AK232" s="2">
        <v>1</v>
      </c>
      <c r="AL232" s="3">
        <v>30</v>
      </c>
      <c r="AM232" s="26">
        <v>138</v>
      </c>
      <c r="AN232" s="29"/>
      <c r="AO232" s="38">
        <v>1</v>
      </c>
      <c r="AP232" s="34">
        <v>10</v>
      </c>
      <c r="AQ232" s="2">
        <v>212.2</v>
      </c>
      <c r="AR232" s="29">
        <v>0.02</v>
      </c>
      <c r="AS232" s="28">
        <v>1.2</v>
      </c>
      <c r="AT232" s="13">
        <v>1</v>
      </c>
      <c r="AU232" s="29">
        <v>20</v>
      </c>
      <c r="AV232" s="2">
        <v>1</v>
      </c>
      <c r="AW232" s="2">
        <v>1</v>
      </c>
    </row>
    <row r="233" spans="1:49" x14ac:dyDescent="0.2">
      <c r="A233" s="3">
        <v>489</v>
      </c>
      <c r="B233" t="s">
        <v>25</v>
      </c>
      <c r="C233" s="2">
        <v>48.4</v>
      </c>
      <c r="D233" s="4">
        <v>2</v>
      </c>
      <c r="E233" s="4">
        <v>2</v>
      </c>
      <c r="F233" s="5">
        <v>3</v>
      </c>
      <c r="G233" s="5">
        <v>25.9</v>
      </c>
      <c r="H233">
        <v>1</v>
      </c>
      <c r="I233" t="s">
        <v>28</v>
      </c>
      <c r="J233" s="2">
        <v>1</v>
      </c>
      <c r="K233">
        <v>1</v>
      </c>
      <c r="M233" s="2">
        <v>1.6</v>
      </c>
      <c r="N233">
        <v>3</v>
      </c>
      <c r="O233">
        <v>1</v>
      </c>
      <c r="P233">
        <v>1</v>
      </c>
      <c r="Q233">
        <v>1</v>
      </c>
      <c r="T233" s="1"/>
      <c r="U233" s="1"/>
      <c r="V233" s="13"/>
      <c r="W233" s="1"/>
      <c r="Y233" s="4"/>
      <c r="Z233">
        <v>3</v>
      </c>
      <c r="AA233">
        <v>3</v>
      </c>
      <c r="AB233">
        <v>1</v>
      </c>
      <c r="AC233" s="2">
        <v>1</v>
      </c>
      <c r="AD233" s="19"/>
      <c r="AE233" s="2">
        <v>3</v>
      </c>
      <c r="AF233" s="2">
        <v>4</v>
      </c>
      <c r="AH233" s="5"/>
      <c r="AI233" s="10"/>
      <c r="AJ233" s="35"/>
      <c r="AK233" s="2">
        <v>1</v>
      </c>
      <c r="AL233" s="3">
        <v>100</v>
      </c>
      <c r="AM233" s="26">
        <v>138.05000000000001</v>
      </c>
      <c r="AN233" s="28">
        <v>5.0999999999999996</v>
      </c>
      <c r="AO233" s="38">
        <v>1</v>
      </c>
      <c r="AP233" s="34">
        <v>10</v>
      </c>
      <c r="AQ233" s="2">
        <v>100.7</v>
      </c>
      <c r="AR233" s="29">
        <v>6.61</v>
      </c>
      <c r="AS233" s="34">
        <v>0.1</v>
      </c>
      <c r="AT233" s="13">
        <v>1</v>
      </c>
      <c r="AU233" s="29">
        <v>0.9</v>
      </c>
      <c r="AV233" s="2">
        <v>1</v>
      </c>
      <c r="AW233" s="2">
        <v>1</v>
      </c>
    </row>
    <row r="234" spans="1:49" x14ac:dyDescent="0.2">
      <c r="A234" s="3">
        <v>187</v>
      </c>
      <c r="B234" t="s">
        <v>25</v>
      </c>
      <c r="C234" s="2">
        <v>31.1</v>
      </c>
      <c r="D234" s="4">
        <v>2</v>
      </c>
      <c r="E234" s="4">
        <v>2</v>
      </c>
      <c r="F234" s="5">
        <v>1</v>
      </c>
      <c r="G234" s="5">
        <v>25.9</v>
      </c>
      <c r="H234">
        <v>1</v>
      </c>
      <c r="I234" t="s">
        <v>26</v>
      </c>
      <c r="J234" s="2">
        <v>1</v>
      </c>
      <c r="K234">
        <v>1</v>
      </c>
      <c r="M234" s="2">
        <v>1.2</v>
      </c>
      <c r="N234">
        <v>2</v>
      </c>
      <c r="O234">
        <v>1</v>
      </c>
      <c r="P234">
        <v>1</v>
      </c>
      <c r="Q234">
        <v>2</v>
      </c>
      <c r="R234">
        <v>2</v>
      </c>
      <c r="S234">
        <v>1</v>
      </c>
      <c r="T234" s="3">
        <v>13</v>
      </c>
      <c r="U234" s="3">
        <v>5</v>
      </c>
      <c r="V234" s="13">
        <v>38.46</v>
      </c>
      <c r="W234" s="2">
        <v>1.5</v>
      </c>
      <c r="X234">
        <v>2</v>
      </c>
      <c r="Y234" s="4">
        <v>1</v>
      </c>
      <c r="Z234">
        <v>1</v>
      </c>
      <c r="AA234">
        <v>1</v>
      </c>
      <c r="AB234">
        <v>1</v>
      </c>
      <c r="AC234" s="2">
        <v>1</v>
      </c>
      <c r="AD234" s="6">
        <v>1</v>
      </c>
      <c r="AE234" s="2">
        <v>2</v>
      </c>
      <c r="AF234" s="2">
        <v>3</v>
      </c>
      <c r="AG234" s="13">
        <v>32</v>
      </c>
      <c r="AH234" s="15">
        <v>0.4</v>
      </c>
      <c r="AI234" s="4">
        <v>1</v>
      </c>
      <c r="AJ234" s="24">
        <v>10</v>
      </c>
      <c r="AK234" s="2">
        <v>1</v>
      </c>
      <c r="AL234" s="3">
        <v>100</v>
      </c>
      <c r="AM234" s="27">
        <v>150</v>
      </c>
      <c r="AN234" s="28">
        <v>0.9</v>
      </c>
      <c r="AO234" s="38">
        <v>1</v>
      </c>
      <c r="AP234" s="34">
        <v>10</v>
      </c>
      <c r="AQ234" s="2">
        <v>106.7</v>
      </c>
      <c r="AR234" s="29">
        <v>12.29</v>
      </c>
      <c r="AS234" s="28">
        <v>0.1</v>
      </c>
      <c r="AT234" s="13">
        <v>1</v>
      </c>
      <c r="AU234" s="29">
        <v>20</v>
      </c>
      <c r="AV234" s="2">
        <v>1</v>
      </c>
      <c r="AW234" s="2">
        <v>1</v>
      </c>
    </row>
    <row r="235" spans="1:49" x14ac:dyDescent="0.2">
      <c r="A235" s="3">
        <v>294</v>
      </c>
      <c r="B235" t="s">
        <v>25</v>
      </c>
      <c r="C235" s="2">
        <v>59.7</v>
      </c>
      <c r="D235" s="4">
        <v>2</v>
      </c>
      <c r="E235" s="4">
        <v>2</v>
      </c>
      <c r="F235" s="5">
        <v>1</v>
      </c>
      <c r="G235" s="5">
        <v>28.3</v>
      </c>
      <c r="H235">
        <v>1</v>
      </c>
      <c r="I235" t="s">
        <v>26</v>
      </c>
      <c r="J235" s="2">
        <v>1</v>
      </c>
      <c r="K235">
        <v>3</v>
      </c>
      <c r="M235" s="2">
        <v>1.8</v>
      </c>
      <c r="N235">
        <v>1</v>
      </c>
      <c r="O235">
        <v>2</v>
      </c>
      <c r="P235">
        <v>2</v>
      </c>
      <c r="Q235">
        <v>2</v>
      </c>
      <c r="R235">
        <v>2</v>
      </c>
      <c r="S235">
        <v>2</v>
      </c>
      <c r="T235" s="1"/>
      <c r="U235" s="1"/>
      <c r="V235" s="13"/>
      <c r="W235" s="1"/>
      <c r="Y235" s="4">
        <v>2</v>
      </c>
      <c r="Z235">
        <v>1</v>
      </c>
      <c r="AA235">
        <v>0</v>
      </c>
      <c r="AB235">
        <v>1</v>
      </c>
      <c r="AC235" s="2">
        <v>1</v>
      </c>
      <c r="AD235" s="19"/>
      <c r="AE235" s="2">
        <v>1</v>
      </c>
      <c r="AF235" s="2">
        <v>1</v>
      </c>
      <c r="AH235" s="5"/>
      <c r="AI235" s="10"/>
      <c r="AJ235" s="35"/>
      <c r="AK235" s="2">
        <v>1</v>
      </c>
      <c r="AL235" s="3">
        <v>100</v>
      </c>
      <c r="AM235" s="26">
        <v>150</v>
      </c>
      <c r="AN235" s="29">
        <v>0.27</v>
      </c>
      <c r="AO235" s="38">
        <v>1</v>
      </c>
      <c r="AP235" s="34">
        <v>10</v>
      </c>
      <c r="AQ235" s="2">
        <v>17.7</v>
      </c>
      <c r="AR235" s="29">
        <v>9.3000000000000007</v>
      </c>
      <c r="AS235" s="28">
        <v>0.1</v>
      </c>
      <c r="AT235" s="13">
        <v>1</v>
      </c>
      <c r="AU235" s="29">
        <v>20</v>
      </c>
      <c r="AV235" s="2">
        <v>1</v>
      </c>
      <c r="AW235" s="2">
        <v>1</v>
      </c>
    </row>
    <row r="236" spans="1:49" x14ac:dyDescent="0.2">
      <c r="A236" s="3">
        <v>4</v>
      </c>
      <c r="B236" t="s">
        <v>25</v>
      </c>
      <c r="C236" s="2">
        <v>44.1</v>
      </c>
      <c r="D236" s="4">
        <v>2</v>
      </c>
      <c r="E236" s="4">
        <v>2</v>
      </c>
      <c r="F236" s="5">
        <v>1</v>
      </c>
      <c r="G236" s="5">
        <v>32.299999999999997</v>
      </c>
      <c r="H236">
        <v>1</v>
      </c>
      <c r="I236" t="s">
        <v>28</v>
      </c>
      <c r="J236" s="2">
        <v>1</v>
      </c>
      <c r="K236">
        <v>3</v>
      </c>
      <c r="M236" s="2">
        <v>2.7</v>
      </c>
      <c r="N236">
        <v>2</v>
      </c>
      <c r="O236">
        <v>1</v>
      </c>
      <c r="P236">
        <v>1</v>
      </c>
      <c r="S236">
        <v>2</v>
      </c>
      <c r="T236" s="1"/>
      <c r="U236" s="1"/>
      <c r="V236" s="13"/>
      <c r="W236" s="1"/>
      <c r="Y236" s="4">
        <v>2</v>
      </c>
      <c r="Z236">
        <v>2</v>
      </c>
      <c r="AA236">
        <v>0</v>
      </c>
      <c r="AB236">
        <v>1</v>
      </c>
      <c r="AC236" s="2">
        <v>1</v>
      </c>
      <c r="AD236" s="19"/>
      <c r="AE236" s="2">
        <v>2</v>
      </c>
      <c r="AF236" s="2">
        <v>3</v>
      </c>
      <c r="AH236" s="9"/>
      <c r="AI236" s="10"/>
      <c r="AJ236" s="35"/>
      <c r="AK236" s="2">
        <v>1</v>
      </c>
      <c r="AL236" s="3">
        <v>100</v>
      </c>
      <c r="AM236" s="26">
        <v>150</v>
      </c>
      <c r="AN236" s="29">
        <v>9.2100000000000009</v>
      </c>
      <c r="AO236" s="38">
        <v>1</v>
      </c>
      <c r="AP236" s="28">
        <v>20</v>
      </c>
      <c r="AQ236" s="2">
        <v>145.9</v>
      </c>
      <c r="AR236" s="29">
        <v>7.0000000000000007E-2</v>
      </c>
      <c r="AS236" s="28">
        <v>0.28999999999999998</v>
      </c>
      <c r="AT236" s="13">
        <v>1</v>
      </c>
      <c r="AU236" s="29">
        <v>20</v>
      </c>
      <c r="AV236" s="2">
        <v>1</v>
      </c>
      <c r="AW236" s="2">
        <v>1</v>
      </c>
    </row>
    <row r="237" spans="1:49" x14ac:dyDescent="0.2">
      <c r="A237" s="3">
        <v>8</v>
      </c>
      <c r="B237" t="s">
        <v>25</v>
      </c>
      <c r="C237" s="2">
        <v>42.6</v>
      </c>
      <c r="D237" s="4">
        <v>2</v>
      </c>
      <c r="E237" s="4">
        <v>2</v>
      </c>
      <c r="F237" s="5">
        <v>1</v>
      </c>
      <c r="G237" s="5">
        <v>40.6</v>
      </c>
      <c r="H237">
        <v>1</v>
      </c>
      <c r="I237" t="s">
        <v>28</v>
      </c>
      <c r="J237" s="2">
        <v>1</v>
      </c>
      <c r="K237">
        <v>1</v>
      </c>
      <c r="M237" s="2">
        <v>2.2000000000000002</v>
      </c>
      <c r="N237">
        <v>2</v>
      </c>
      <c r="O237">
        <v>1</v>
      </c>
      <c r="P237">
        <v>2</v>
      </c>
      <c r="Q237">
        <v>2</v>
      </c>
      <c r="R237">
        <v>2</v>
      </c>
      <c r="T237" s="1"/>
      <c r="U237" s="1"/>
      <c r="V237" s="13"/>
      <c r="W237" s="1"/>
      <c r="X237" t="s">
        <v>53</v>
      </c>
      <c r="Y237" s="4">
        <v>2</v>
      </c>
      <c r="Z237">
        <v>2</v>
      </c>
      <c r="AA237">
        <v>3</v>
      </c>
      <c r="AB237">
        <v>1</v>
      </c>
      <c r="AC237" s="2">
        <v>1</v>
      </c>
      <c r="AD237" s="19"/>
      <c r="AE237" s="2">
        <v>2</v>
      </c>
      <c r="AF237" s="2">
        <v>3</v>
      </c>
      <c r="AH237" s="9"/>
      <c r="AI237" s="4"/>
      <c r="AJ237" s="35"/>
      <c r="AK237" s="2">
        <v>1</v>
      </c>
      <c r="AL237" s="3">
        <v>100</v>
      </c>
      <c r="AM237" s="26">
        <v>150</v>
      </c>
      <c r="AN237" s="28">
        <v>9.77</v>
      </c>
      <c r="AO237" s="38">
        <v>1</v>
      </c>
      <c r="AP237" s="34">
        <v>10</v>
      </c>
      <c r="AQ237" s="2">
        <v>150.5</v>
      </c>
      <c r="AR237" s="29">
        <v>3.87</v>
      </c>
      <c r="AS237" s="34">
        <f>0.1/2</f>
        <v>0.05</v>
      </c>
      <c r="AT237" s="13">
        <v>1</v>
      </c>
      <c r="AU237" s="29">
        <v>1.6</v>
      </c>
      <c r="AV237" s="2">
        <v>1</v>
      </c>
      <c r="AW237" s="2">
        <v>1</v>
      </c>
    </row>
    <row r="238" spans="1:49" x14ac:dyDescent="0.2">
      <c r="A238" s="3">
        <v>52</v>
      </c>
      <c r="B238" t="s">
        <v>25</v>
      </c>
      <c r="C238" s="2">
        <v>37.9</v>
      </c>
      <c r="D238" s="4">
        <v>2</v>
      </c>
      <c r="E238" s="4">
        <v>2</v>
      </c>
      <c r="F238" s="5">
        <v>1</v>
      </c>
      <c r="G238" s="5">
        <v>25.1</v>
      </c>
      <c r="H238">
        <v>1</v>
      </c>
      <c r="I238" t="s">
        <v>26</v>
      </c>
      <c r="J238" s="2">
        <v>1</v>
      </c>
      <c r="K238">
        <v>3</v>
      </c>
      <c r="M238" s="2">
        <v>2.2999999999999998</v>
      </c>
      <c r="N238">
        <v>1</v>
      </c>
      <c r="O238">
        <v>2</v>
      </c>
      <c r="P238">
        <v>2</v>
      </c>
      <c r="Q238">
        <v>1</v>
      </c>
      <c r="R238">
        <v>2</v>
      </c>
      <c r="S238">
        <v>1</v>
      </c>
      <c r="T238" s="3">
        <v>1</v>
      </c>
      <c r="U238" s="3">
        <v>1</v>
      </c>
      <c r="V238" s="13">
        <v>100</v>
      </c>
      <c r="W238" s="2">
        <v>0.7</v>
      </c>
      <c r="X238">
        <v>2</v>
      </c>
      <c r="Y238" s="4">
        <v>2</v>
      </c>
      <c r="Z238">
        <v>2</v>
      </c>
      <c r="AA238">
        <v>1</v>
      </c>
      <c r="AB238">
        <v>1</v>
      </c>
      <c r="AC238" s="2">
        <v>2</v>
      </c>
      <c r="AD238" s="19"/>
      <c r="AE238" s="2">
        <v>2</v>
      </c>
      <c r="AF238" s="2">
        <v>3</v>
      </c>
      <c r="AG238" s="13">
        <v>0.13</v>
      </c>
      <c r="AH238" s="15">
        <v>0.7</v>
      </c>
      <c r="AI238" s="4">
        <v>1</v>
      </c>
      <c r="AJ238" s="15">
        <v>20</v>
      </c>
      <c r="AK238" s="2">
        <v>1</v>
      </c>
      <c r="AL238" s="3">
        <v>100</v>
      </c>
      <c r="AM238" s="26">
        <v>85</v>
      </c>
      <c r="AN238" s="29">
        <v>5.2</v>
      </c>
      <c r="AO238" s="38">
        <v>1</v>
      </c>
      <c r="AP238" s="34">
        <v>10</v>
      </c>
      <c r="AQ238" s="2">
        <v>106.4</v>
      </c>
      <c r="AR238" s="29">
        <v>1.52</v>
      </c>
      <c r="AS238" s="28">
        <v>0.56000000000000005</v>
      </c>
      <c r="AT238" s="13">
        <v>1</v>
      </c>
      <c r="AU238" s="29">
        <v>2.2000000000000002</v>
      </c>
      <c r="AV238" s="2">
        <v>2</v>
      </c>
      <c r="AW238" s="2">
        <v>2</v>
      </c>
    </row>
    <row r="239" spans="1:49" x14ac:dyDescent="0.2">
      <c r="A239" s="3">
        <v>370</v>
      </c>
      <c r="B239" t="s">
        <v>25</v>
      </c>
      <c r="C239" s="2">
        <v>48.3</v>
      </c>
      <c r="D239" s="4">
        <v>2</v>
      </c>
      <c r="E239" s="4">
        <v>2</v>
      </c>
      <c r="F239" s="5">
        <v>1</v>
      </c>
      <c r="G239" s="5">
        <v>23</v>
      </c>
      <c r="H239">
        <v>2</v>
      </c>
      <c r="I239" t="s">
        <v>26</v>
      </c>
      <c r="J239" s="2">
        <v>1</v>
      </c>
      <c r="K239">
        <v>3</v>
      </c>
      <c r="M239" s="2">
        <v>0.3</v>
      </c>
      <c r="N239">
        <v>1</v>
      </c>
      <c r="O239">
        <v>2</v>
      </c>
      <c r="P239">
        <v>2</v>
      </c>
      <c r="Q239">
        <v>2</v>
      </c>
      <c r="R239">
        <v>2</v>
      </c>
      <c r="S239">
        <v>2</v>
      </c>
      <c r="T239" s="1"/>
      <c r="U239" s="1"/>
      <c r="V239" s="13"/>
      <c r="W239" s="1"/>
      <c r="Y239" s="4">
        <v>2</v>
      </c>
      <c r="Z239">
        <v>1</v>
      </c>
      <c r="AA239">
        <v>3</v>
      </c>
      <c r="AB239">
        <v>2</v>
      </c>
      <c r="AC239" s="2">
        <v>4</v>
      </c>
      <c r="AD239" s="19"/>
      <c r="AE239" s="2">
        <v>3</v>
      </c>
      <c r="AF239" s="2">
        <v>4</v>
      </c>
      <c r="AH239" s="9"/>
      <c r="AI239" s="10"/>
      <c r="AJ239" s="35"/>
      <c r="AK239" s="2">
        <v>1</v>
      </c>
      <c r="AL239" s="3">
        <v>200</v>
      </c>
      <c r="AM239" s="26">
        <v>150</v>
      </c>
      <c r="AN239" s="28">
        <v>314</v>
      </c>
      <c r="AO239" s="38">
        <v>1</v>
      </c>
      <c r="AP239" s="34">
        <v>10</v>
      </c>
      <c r="AQ239" s="2">
        <v>37.6</v>
      </c>
      <c r="AR239" s="29">
        <v>0.53</v>
      </c>
      <c r="AS239" s="28">
        <v>1.58</v>
      </c>
      <c r="AT239" s="13">
        <v>1</v>
      </c>
      <c r="AU239" s="29">
        <v>12.4</v>
      </c>
      <c r="AV239" s="2">
        <v>4</v>
      </c>
      <c r="AW239" s="2">
        <v>4</v>
      </c>
    </row>
    <row r="240" spans="1:49" x14ac:dyDescent="0.2">
      <c r="A240" s="3">
        <v>403</v>
      </c>
      <c r="B240" t="s">
        <v>25</v>
      </c>
      <c r="C240" s="2">
        <v>56.2</v>
      </c>
      <c r="D240" s="4">
        <v>2</v>
      </c>
      <c r="E240" s="4">
        <v>2</v>
      </c>
      <c r="F240" s="5"/>
      <c r="G240" s="5">
        <v>27.5</v>
      </c>
      <c r="H240">
        <v>2</v>
      </c>
      <c r="I240" t="s">
        <v>26</v>
      </c>
      <c r="J240" s="2">
        <v>1</v>
      </c>
      <c r="K240">
        <v>1</v>
      </c>
      <c r="M240" s="2">
        <v>1.6</v>
      </c>
      <c r="N240">
        <v>1</v>
      </c>
      <c r="O240">
        <v>2</v>
      </c>
      <c r="P240">
        <v>2</v>
      </c>
      <c r="Q240">
        <v>2</v>
      </c>
      <c r="R240">
        <v>2</v>
      </c>
      <c r="S240">
        <v>1</v>
      </c>
      <c r="T240" s="3">
        <v>3</v>
      </c>
      <c r="U240" s="3">
        <v>3</v>
      </c>
      <c r="V240" s="13">
        <v>100</v>
      </c>
      <c r="W240" s="2">
        <v>0.7</v>
      </c>
      <c r="X240">
        <v>2</v>
      </c>
      <c r="Y240" s="4">
        <v>2</v>
      </c>
      <c r="Z240">
        <v>1</v>
      </c>
      <c r="AA240">
        <v>1</v>
      </c>
      <c r="AB240">
        <v>1</v>
      </c>
      <c r="AC240" s="2">
        <v>2</v>
      </c>
      <c r="AD240" s="6">
        <v>1</v>
      </c>
      <c r="AE240" s="2">
        <v>2</v>
      </c>
      <c r="AF240" s="2">
        <v>2</v>
      </c>
      <c r="AG240" s="13">
        <v>23.01</v>
      </c>
      <c r="AH240" s="15">
        <v>2.5</v>
      </c>
      <c r="AI240" s="4">
        <v>1</v>
      </c>
      <c r="AJ240" s="15">
        <v>1.7</v>
      </c>
      <c r="AK240" s="2">
        <v>1</v>
      </c>
      <c r="AL240" s="3">
        <v>30</v>
      </c>
      <c r="AM240" s="26">
        <v>77.64</v>
      </c>
      <c r="AN240" s="29">
        <v>4.54</v>
      </c>
      <c r="AO240" s="38">
        <v>1</v>
      </c>
      <c r="AP240" s="34">
        <f>1.3/2</f>
        <v>0.65</v>
      </c>
      <c r="AQ240" s="2">
        <v>15.4</v>
      </c>
      <c r="AR240" s="29">
        <v>0.01</v>
      </c>
      <c r="AS240" s="28">
        <v>0.1</v>
      </c>
      <c r="AT240" s="13">
        <v>1</v>
      </c>
      <c r="AU240" s="29">
        <v>1.3</v>
      </c>
      <c r="AV240" s="2">
        <v>1</v>
      </c>
      <c r="AW240" s="2">
        <v>1</v>
      </c>
    </row>
    <row r="241" spans="1:49" x14ac:dyDescent="0.2">
      <c r="A241" s="3">
        <v>312</v>
      </c>
      <c r="B241" t="s">
        <v>25</v>
      </c>
      <c r="C241" s="2">
        <v>44.2</v>
      </c>
      <c r="D241" s="4">
        <v>2</v>
      </c>
      <c r="E241" s="4">
        <v>2</v>
      </c>
      <c r="F241" s="5">
        <v>1</v>
      </c>
      <c r="G241" s="5">
        <v>33.6</v>
      </c>
      <c r="H241">
        <v>1</v>
      </c>
      <c r="I241" t="s">
        <v>26</v>
      </c>
      <c r="J241" s="2">
        <v>1</v>
      </c>
      <c r="K241">
        <v>1</v>
      </c>
      <c r="M241" s="2">
        <v>1.4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1</v>
      </c>
      <c r="T241" s="3">
        <v>1</v>
      </c>
      <c r="U241" s="3">
        <v>1</v>
      </c>
      <c r="V241" s="13">
        <v>100</v>
      </c>
      <c r="W241" s="2">
        <v>0.2</v>
      </c>
      <c r="X241">
        <v>2</v>
      </c>
      <c r="Y241" s="4">
        <v>1</v>
      </c>
      <c r="Z241">
        <v>1</v>
      </c>
      <c r="AA241">
        <v>1</v>
      </c>
      <c r="AB241">
        <v>1</v>
      </c>
      <c r="AC241" s="2">
        <v>1</v>
      </c>
      <c r="AD241" s="19"/>
      <c r="AE241" s="2">
        <v>2</v>
      </c>
      <c r="AF241" s="2">
        <v>2</v>
      </c>
      <c r="AG241" s="13">
        <v>0.1</v>
      </c>
      <c r="AH241" s="13">
        <v>3.5</v>
      </c>
      <c r="AI241" s="4">
        <v>1</v>
      </c>
      <c r="AJ241" s="24">
        <v>10</v>
      </c>
      <c r="AK241" s="2">
        <v>1</v>
      </c>
      <c r="AL241" s="3">
        <v>30</v>
      </c>
      <c r="AM241" s="26">
        <v>91</v>
      </c>
      <c r="AN241" s="29">
        <v>4.0999999999999996</v>
      </c>
      <c r="AO241" s="38">
        <v>1</v>
      </c>
      <c r="AP241" s="34">
        <v>10</v>
      </c>
      <c r="AQ241" s="2">
        <v>104.8</v>
      </c>
      <c r="AR241" s="29">
        <v>3.92</v>
      </c>
      <c r="AS241" s="28">
        <v>1.29</v>
      </c>
      <c r="AT241" s="13">
        <v>1</v>
      </c>
      <c r="AU241" s="29">
        <v>1.3</v>
      </c>
      <c r="AV241" s="2">
        <v>2</v>
      </c>
      <c r="AW241" s="2">
        <v>2</v>
      </c>
    </row>
    <row r="242" spans="1:49" x14ac:dyDescent="0.2">
      <c r="A242" s="3">
        <v>42</v>
      </c>
      <c r="B242" t="s">
        <v>27</v>
      </c>
      <c r="C242" s="2">
        <v>29.6</v>
      </c>
      <c r="D242" s="4">
        <v>2</v>
      </c>
      <c r="E242" s="4">
        <v>2</v>
      </c>
      <c r="F242" s="5">
        <v>1</v>
      </c>
      <c r="G242" s="5">
        <v>25.5</v>
      </c>
      <c r="H242">
        <v>2</v>
      </c>
      <c r="I242" t="s">
        <v>26</v>
      </c>
      <c r="J242" s="2">
        <v>1</v>
      </c>
      <c r="K242">
        <v>10</v>
      </c>
      <c r="M242" s="2">
        <v>5.2</v>
      </c>
      <c r="N242">
        <v>2</v>
      </c>
      <c r="O242">
        <v>2</v>
      </c>
      <c r="P242">
        <v>2</v>
      </c>
      <c r="Q242">
        <v>1</v>
      </c>
      <c r="R242">
        <v>2</v>
      </c>
      <c r="S242">
        <v>1</v>
      </c>
      <c r="T242" s="3">
        <v>1</v>
      </c>
      <c r="U242" s="3">
        <v>1</v>
      </c>
      <c r="V242" s="13">
        <v>100</v>
      </c>
      <c r="W242" s="2">
        <v>0.3</v>
      </c>
      <c r="X242">
        <v>2</v>
      </c>
      <c r="Y242" s="4">
        <v>2</v>
      </c>
      <c r="Z242">
        <v>3</v>
      </c>
      <c r="AA242">
        <v>1</v>
      </c>
      <c r="AB242">
        <v>1</v>
      </c>
      <c r="AC242" s="2">
        <v>1</v>
      </c>
      <c r="AD242" s="19"/>
      <c r="AE242" s="2">
        <v>2</v>
      </c>
      <c r="AF242" s="2">
        <v>4</v>
      </c>
      <c r="AG242" s="13">
        <v>7.41</v>
      </c>
      <c r="AH242" s="13">
        <v>3.8</v>
      </c>
      <c r="AI242" s="4">
        <v>1</v>
      </c>
      <c r="AJ242" s="24">
        <v>10</v>
      </c>
      <c r="AK242" s="2">
        <v>1</v>
      </c>
      <c r="AL242" s="3">
        <v>100</v>
      </c>
      <c r="AM242" s="26">
        <v>150</v>
      </c>
      <c r="AN242" s="29">
        <v>12.2</v>
      </c>
      <c r="AO242" s="38">
        <v>1</v>
      </c>
      <c r="AP242" s="34">
        <v>10</v>
      </c>
      <c r="AQ242" s="2">
        <v>97.5</v>
      </c>
      <c r="AR242" s="32">
        <v>5.0199999999999996</v>
      </c>
      <c r="AS242" s="34">
        <f>0.1/2</f>
        <v>0.05</v>
      </c>
      <c r="AT242" s="13">
        <v>1</v>
      </c>
      <c r="AU242" s="29">
        <v>1.3</v>
      </c>
      <c r="AV242" s="2">
        <v>1</v>
      </c>
      <c r="AW242" s="2">
        <v>1</v>
      </c>
    </row>
    <row r="243" spans="1:49" x14ac:dyDescent="0.2">
      <c r="A243" s="3">
        <v>295</v>
      </c>
      <c r="B243" t="s">
        <v>25</v>
      </c>
      <c r="C243" s="2">
        <v>55.2</v>
      </c>
      <c r="D243" s="4">
        <v>2</v>
      </c>
      <c r="E243" s="4">
        <v>2</v>
      </c>
      <c r="F243" s="5">
        <v>1</v>
      </c>
      <c r="G243" s="5">
        <v>28.3</v>
      </c>
      <c r="H243">
        <v>1</v>
      </c>
      <c r="I243" t="s">
        <v>26</v>
      </c>
      <c r="J243" s="2">
        <v>1</v>
      </c>
      <c r="K243">
        <v>1</v>
      </c>
      <c r="M243" s="2">
        <v>0.8</v>
      </c>
      <c r="N243">
        <v>1</v>
      </c>
      <c r="O243">
        <v>2</v>
      </c>
      <c r="P243">
        <v>2</v>
      </c>
      <c r="Q243">
        <v>2</v>
      </c>
      <c r="R243">
        <v>2</v>
      </c>
      <c r="S243">
        <v>2</v>
      </c>
      <c r="T243" s="1"/>
      <c r="U243" s="1"/>
      <c r="V243" s="13"/>
      <c r="W243" s="1"/>
      <c r="Y243" s="4">
        <v>2</v>
      </c>
      <c r="Z243">
        <v>1</v>
      </c>
      <c r="AA243">
        <v>0</v>
      </c>
      <c r="AB243">
        <v>1</v>
      </c>
      <c r="AC243" s="2">
        <v>1</v>
      </c>
      <c r="AD243" s="19"/>
      <c r="AE243" s="2">
        <v>1</v>
      </c>
      <c r="AF243" s="2">
        <v>1</v>
      </c>
      <c r="AH243" s="5"/>
      <c r="AI243" s="10"/>
      <c r="AJ243" s="35"/>
      <c r="AK243" s="2">
        <v>1</v>
      </c>
      <c r="AL243" s="3">
        <v>30</v>
      </c>
      <c r="AM243" s="27">
        <v>140</v>
      </c>
      <c r="AN243" s="29">
        <v>0.93</v>
      </c>
      <c r="AO243" s="38">
        <v>1</v>
      </c>
      <c r="AP243" s="34">
        <v>10</v>
      </c>
      <c r="AQ243" s="2">
        <v>149.19999999999999</v>
      </c>
      <c r="AR243" s="29">
        <v>0.91</v>
      </c>
      <c r="AS243" s="28">
        <v>0.1</v>
      </c>
      <c r="AT243" s="13">
        <v>1</v>
      </c>
      <c r="AU243" s="29">
        <v>1.3</v>
      </c>
      <c r="AV243" s="2">
        <v>1</v>
      </c>
      <c r="AW243" s="2">
        <v>1</v>
      </c>
    </row>
    <row r="244" spans="1:49" x14ac:dyDescent="0.2">
      <c r="A244" s="3">
        <v>300</v>
      </c>
      <c r="B244" t="s">
        <v>25</v>
      </c>
      <c r="C244" s="2">
        <v>52.3</v>
      </c>
      <c r="D244" s="6">
        <v>2</v>
      </c>
      <c r="E244" s="6">
        <v>1</v>
      </c>
      <c r="F244" s="7">
        <v>1</v>
      </c>
      <c r="G244" s="7">
        <v>24.9</v>
      </c>
      <c r="H244">
        <v>1</v>
      </c>
      <c r="I244" t="s">
        <v>26</v>
      </c>
      <c r="J244" s="2">
        <v>1</v>
      </c>
      <c r="K244">
        <v>1</v>
      </c>
      <c r="M244" s="2">
        <v>1.2</v>
      </c>
      <c r="N244">
        <v>1</v>
      </c>
      <c r="O244">
        <v>2</v>
      </c>
      <c r="P244">
        <v>2</v>
      </c>
      <c r="Q244">
        <v>2</v>
      </c>
      <c r="R244">
        <v>2</v>
      </c>
      <c r="S244">
        <v>2</v>
      </c>
      <c r="T244" s="1"/>
      <c r="U244" s="1"/>
      <c r="V244" s="17"/>
      <c r="W244" s="1"/>
      <c r="Y244" s="6">
        <v>1</v>
      </c>
      <c r="Z244">
        <v>1</v>
      </c>
      <c r="AA244">
        <v>0</v>
      </c>
      <c r="AB244">
        <v>1</v>
      </c>
      <c r="AC244" s="2">
        <v>1</v>
      </c>
      <c r="AD244" s="19"/>
      <c r="AE244" s="2">
        <v>1</v>
      </c>
      <c r="AF244" s="2">
        <v>1</v>
      </c>
      <c r="AG244" s="22"/>
      <c r="AH244" s="7"/>
      <c r="AI244" s="19"/>
      <c r="AJ244" s="36"/>
      <c r="AK244" s="2">
        <v>1</v>
      </c>
      <c r="AL244" s="3">
        <v>100</v>
      </c>
      <c r="AM244" s="26">
        <v>150</v>
      </c>
      <c r="AN244" s="32">
        <v>0.1</v>
      </c>
      <c r="AO244" s="40">
        <v>1</v>
      </c>
      <c r="AP244" s="31">
        <v>10</v>
      </c>
      <c r="AQ244" s="2">
        <v>185.7</v>
      </c>
      <c r="AR244" s="32">
        <v>5.58</v>
      </c>
      <c r="AS244" s="31">
        <v>0.1</v>
      </c>
      <c r="AT244" s="14">
        <v>1</v>
      </c>
      <c r="AU244" s="32">
        <v>1.7</v>
      </c>
      <c r="AV244" s="2">
        <v>1</v>
      </c>
      <c r="AW244" s="2">
        <v>1</v>
      </c>
    </row>
    <row r="245" spans="1:49" x14ac:dyDescent="0.2">
      <c r="A245" s="3">
        <v>338</v>
      </c>
      <c r="B245" t="s">
        <v>25</v>
      </c>
      <c r="C245" s="2">
        <v>34</v>
      </c>
      <c r="D245" s="4">
        <v>2</v>
      </c>
      <c r="E245" s="4">
        <v>2</v>
      </c>
      <c r="F245" s="5"/>
      <c r="G245" s="5">
        <v>25.6</v>
      </c>
      <c r="H245">
        <v>1</v>
      </c>
      <c r="I245" t="s">
        <v>26</v>
      </c>
      <c r="J245" s="2">
        <v>1</v>
      </c>
      <c r="K245">
        <v>3</v>
      </c>
      <c r="M245" s="2">
        <v>2.2000000000000002</v>
      </c>
      <c r="N245">
        <v>1</v>
      </c>
      <c r="O245">
        <v>2</v>
      </c>
      <c r="P245">
        <v>2</v>
      </c>
      <c r="Q245">
        <v>2</v>
      </c>
      <c r="R245">
        <v>2</v>
      </c>
      <c r="S245">
        <v>2</v>
      </c>
      <c r="T245" s="1"/>
      <c r="U245" s="1"/>
      <c r="V245" s="13"/>
      <c r="W245" s="1"/>
      <c r="Y245" s="4">
        <v>2</v>
      </c>
      <c r="Z245">
        <v>2</v>
      </c>
      <c r="AA245">
        <v>0</v>
      </c>
      <c r="AB245">
        <v>1</v>
      </c>
      <c r="AC245" s="2">
        <v>1</v>
      </c>
      <c r="AD245" s="19"/>
      <c r="AE245" s="2">
        <v>1</v>
      </c>
      <c r="AF245" s="2">
        <v>1</v>
      </c>
      <c r="AH245" s="5"/>
      <c r="AI245" s="10"/>
      <c r="AJ245" s="35"/>
      <c r="AK245" s="2">
        <v>1</v>
      </c>
      <c r="AL245" s="3">
        <v>100</v>
      </c>
      <c r="AM245" s="27">
        <v>150</v>
      </c>
      <c r="AN245" s="29">
        <v>0.12</v>
      </c>
      <c r="AO245" s="38">
        <v>1</v>
      </c>
      <c r="AP245" s="34">
        <v>10</v>
      </c>
      <c r="AQ245" s="2">
        <v>17</v>
      </c>
      <c r="AR245" s="29">
        <v>87</v>
      </c>
      <c r="AS245" s="28">
        <v>0.1</v>
      </c>
      <c r="AT245" s="13">
        <v>1</v>
      </c>
      <c r="AU245" s="29">
        <v>20</v>
      </c>
      <c r="AV245" s="2">
        <v>1</v>
      </c>
      <c r="AW245" s="2">
        <v>1</v>
      </c>
    </row>
    <row r="246" spans="1:49" x14ac:dyDescent="0.2">
      <c r="A246" s="3">
        <v>422</v>
      </c>
      <c r="B246" t="s">
        <v>25</v>
      </c>
      <c r="C246" s="2">
        <v>58.5</v>
      </c>
      <c r="D246" s="4">
        <v>2</v>
      </c>
      <c r="E246" s="4">
        <v>2</v>
      </c>
      <c r="F246" s="5"/>
      <c r="G246" s="5">
        <v>28.9</v>
      </c>
      <c r="H246">
        <v>2</v>
      </c>
      <c r="I246" t="s">
        <v>26</v>
      </c>
      <c r="J246" s="2">
        <v>1</v>
      </c>
      <c r="K246">
        <v>1</v>
      </c>
      <c r="M246" s="2">
        <v>6</v>
      </c>
      <c r="N246">
        <v>2</v>
      </c>
      <c r="O246">
        <v>2</v>
      </c>
      <c r="P246">
        <v>2</v>
      </c>
      <c r="Q246">
        <v>1</v>
      </c>
      <c r="R246">
        <v>1</v>
      </c>
      <c r="S246">
        <v>1</v>
      </c>
      <c r="T246" s="3">
        <v>7</v>
      </c>
      <c r="U246" s="3">
        <v>6</v>
      </c>
      <c r="V246" s="13">
        <v>85.71</v>
      </c>
      <c r="W246" s="2">
        <v>0.6</v>
      </c>
      <c r="X246">
        <v>2</v>
      </c>
      <c r="Y246" s="4">
        <v>1</v>
      </c>
      <c r="Z246">
        <v>3</v>
      </c>
      <c r="AA246">
        <v>1</v>
      </c>
      <c r="AB246">
        <v>1</v>
      </c>
      <c r="AC246" s="2">
        <v>2</v>
      </c>
      <c r="AD246" s="6">
        <v>1</v>
      </c>
      <c r="AE246" s="2">
        <v>2</v>
      </c>
      <c r="AF246" s="2">
        <v>4</v>
      </c>
      <c r="AG246" s="13">
        <v>0.01</v>
      </c>
      <c r="AH246" s="15">
        <v>6.58</v>
      </c>
      <c r="AI246" s="4">
        <v>1</v>
      </c>
      <c r="AJ246" s="37">
        <f>1.3/2</f>
        <v>0.65</v>
      </c>
      <c r="AK246" s="2">
        <v>1</v>
      </c>
      <c r="AL246" s="3">
        <v>150</v>
      </c>
      <c r="AM246" s="26">
        <v>97.7</v>
      </c>
      <c r="AN246" s="28">
        <v>85.3</v>
      </c>
      <c r="AO246" s="38">
        <v>1</v>
      </c>
      <c r="AP246" s="34">
        <f>1.3/2</f>
        <v>0.65</v>
      </c>
      <c r="AQ246" s="2">
        <v>21.6</v>
      </c>
      <c r="AR246" s="29">
        <v>7.0000000000000007E-2</v>
      </c>
      <c r="AS246" s="29">
        <v>7.35</v>
      </c>
      <c r="AT246" s="13">
        <v>1</v>
      </c>
      <c r="AU246" s="29">
        <v>1.3</v>
      </c>
      <c r="AV246" s="2">
        <v>4</v>
      </c>
      <c r="AW246" s="2">
        <v>4</v>
      </c>
    </row>
    <row r="247" spans="1:49" x14ac:dyDescent="0.2">
      <c r="A247" s="3">
        <v>10</v>
      </c>
      <c r="B247" t="s">
        <v>25</v>
      </c>
      <c r="C247" s="2">
        <v>30.4</v>
      </c>
      <c r="D247" s="4">
        <v>2</v>
      </c>
      <c r="E247" s="4">
        <v>2</v>
      </c>
      <c r="F247" s="5"/>
      <c r="G247" s="5">
        <v>21.8</v>
      </c>
      <c r="H247">
        <v>1</v>
      </c>
      <c r="I247" t="s">
        <v>26</v>
      </c>
      <c r="J247" s="2">
        <v>1</v>
      </c>
      <c r="K247">
        <v>1</v>
      </c>
      <c r="M247" s="2">
        <v>1.2</v>
      </c>
      <c r="N247">
        <v>1</v>
      </c>
      <c r="O247">
        <v>2</v>
      </c>
      <c r="P247">
        <v>2</v>
      </c>
      <c r="Q247">
        <v>2</v>
      </c>
      <c r="R247">
        <v>2</v>
      </c>
      <c r="T247" s="1" t="s">
        <v>53</v>
      </c>
      <c r="U247" s="1"/>
      <c r="V247" s="13"/>
      <c r="W247" s="1"/>
      <c r="Y247" s="4"/>
      <c r="Z247">
        <v>1</v>
      </c>
      <c r="AA247">
        <v>3</v>
      </c>
      <c r="AB247">
        <v>1</v>
      </c>
      <c r="AC247" s="2">
        <v>1</v>
      </c>
      <c r="AD247" s="19"/>
      <c r="AE247" s="2">
        <v>1</v>
      </c>
      <c r="AF247" s="2">
        <v>1</v>
      </c>
      <c r="AG247" s="13">
        <v>0.01</v>
      </c>
      <c r="AH247" s="9"/>
      <c r="AI247" s="4"/>
      <c r="AJ247" s="35"/>
      <c r="AK247" s="2">
        <v>1</v>
      </c>
      <c r="AL247" s="3">
        <v>100</v>
      </c>
      <c r="AM247" s="27">
        <v>150</v>
      </c>
      <c r="AN247" s="29">
        <v>0.69</v>
      </c>
      <c r="AO247" s="38">
        <v>1</v>
      </c>
      <c r="AP247" s="34">
        <v>10</v>
      </c>
      <c r="AQ247" s="2">
        <v>137.5</v>
      </c>
      <c r="AR247" s="29">
        <v>3.91</v>
      </c>
      <c r="AS247" s="28">
        <v>0.1</v>
      </c>
      <c r="AT247" s="13">
        <v>1</v>
      </c>
      <c r="AU247" s="29"/>
      <c r="AV247" s="2">
        <v>1</v>
      </c>
      <c r="AW247" s="2">
        <v>1</v>
      </c>
    </row>
    <row r="248" spans="1:49" x14ac:dyDescent="0.2">
      <c r="A248" s="3">
        <v>56</v>
      </c>
      <c r="B248" t="s">
        <v>25</v>
      </c>
      <c r="C248" s="2">
        <v>51.8</v>
      </c>
      <c r="D248" s="4">
        <v>2</v>
      </c>
      <c r="E248" s="4">
        <v>2</v>
      </c>
      <c r="F248" s="5">
        <v>2</v>
      </c>
      <c r="G248" s="5">
        <v>28.6</v>
      </c>
      <c r="H248">
        <v>1</v>
      </c>
      <c r="I248" t="s">
        <v>26</v>
      </c>
      <c r="J248" s="2">
        <v>1</v>
      </c>
      <c r="K248">
        <v>3</v>
      </c>
      <c r="M248" s="2">
        <v>1.8</v>
      </c>
      <c r="N248">
        <v>1</v>
      </c>
      <c r="O248">
        <v>2</v>
      </c>
      <c r="P248">
        <v>2</v>
      </c>
      <c r="Q248">
        <v>2</v>
      </c>
      <c r="R248">
        <v>2</v>
      </c>
      <c r="S248">
        <v>2</v>
      </c>
      <c r="T248" s="1"/>
      <c r="U248" s="1"/>
      <c r="V248" s="13"/>
      <c r="W248" s="1"/>
      <c r="Y248" s="4">
        <v>1</v>
      </c>
      <c r="Z248">
        <v>1</v>
      </c>
      <c r="AA248">
        <v>0</v>
      </c>
      <c r="AB248">
        <v>1</v>
      </c>
      <c r="AC248" s="2">
        <v>1</v>
      </c>
      <c r="AD248" s="19"/>
      <c r="AE248" s="2">
        <v>1</v>
      </c>
      <c r="AF248" s="2">
        <v>1</v>
      </c>
      <c r="AH248" s="5"/>
      <c r="AI248" s="10"/>
      <c r="AJ248" s="35"/>
      <c r="AK248" s="2">
        <v>1</v>
      </c>
      <c r="AL248" s="3">
        <v>30</v>
      </c>
      <c r="AM248" s="27">
        <v>150</v>
      </c>
      <c r="AN248" s="29">
        <v>0.7</v>
      </c>
      <c r="AO248" s="38">
        <v>1</v>
      </c>
      <c r="AP248" s="30">
        <v>10</v>
      </c>
      <c r="AQ248" s="2">
        <v>131.80000000000001</v>
      </c>
      <c r="AR248" s="29">
        <v>0.47</v>
      </c>
      <c r="AS248" s="34">
        <v>0.05</v>
      </c>
      <c r="AT248" s="13">
        <v>1</v>
      </c>
      <c r="AU248" s="29">
        <v>1.3</v>
      </c>
      <c r="AV248" s="2">
        <v>1</v>
      </c>
      <c r="AW248" s="2">
        <v>1</v>
      </c>
    </row>
    <row r="249" spans="1:49" x14ac:dyDescent="0.2">
      <c r="A249" s="3">
        <v>75</v>
      </c>
      <c r="B249" t="s">
        <v>25</v>
      </c>
      <c r="C249" s="2">
        <v>29.1</v>
      </c>
      <c r="D249" s="4">
        <v>2</v>
      </c>
      <c r="E249" s="4">
        <v>2</v>
      </c>
      <c r="F249" s="5">
        <v>1</v>
      </c>
      <c r="G249" s="5">
        <v>23.5</v>
      </c>
      <c r="H249">
        <v>1</v>
      </c>
      <c r="I249" t="s">
        <v>26</v>
      </c>
      <c r="J249" s="2">
        <v>1</v>
      </c>
      <c r="K249">
        <v>11</v>
      </c>
      <c r="M249" s="2">
        <v>2</v>
      </c>
      <c r="N249">
        <v>1</v>
      </c>
      <c r="O249">
        <v>2</v>
      </c>
      <c r="P249">
        <v>2</v>
      </c>
      <c r="Q249">
        <v>2</v>
      </c>
      <c r="R249">
        <v>2</v>
      </c>
      <c r="S249">
        <v>2</v>
      </c>
      <c r="T249" s="1"/>
      <c r="U249" s="1"/>
      <c r="V249" s="13"/>
      <c r="W249" s="1"/>
      <c r="Y249" s="4">
        <v>1</v>
      </c>
      <c r="Z249">
        <v>1</v>
      </c>
      <c r="AA249">
        <v>3</v>
      </c>
      <c r="AB249">
        <v>1</v>
      </c>
      <c r="AC249" s="2">
        <v>1</v>
      </c>
      <c r="AD249" s="19"/>
      <c r="AE249" s="2">
        <v>2</v>
      </c>
      <c r="AF249" s="2">
        <v>2</v>
      </c>
      <c r="AH249" s="5"/>
      <c r="AI249" s="10"/>
      <c r="AJ249" s="35"/>
      <c r="AK249" s="2">
        <v>1</v>
      </c>
      <c r="AL249" s="3">
        <v>100</v>
      </c>
      <c r="AM249" s="26">
        <v>150</v>
      </c>
      <c r="AN249" s="29">
        <v>0.74</v>
      </c>
      <c r="AO249" s="38">
        <v>1</v>
      </c>
      <c r="AP249" s="34">
        <v>10</v>
      </c>
      <c r="AQ249" s="2">
        <v>187.3</v>
      </c>
      <c r="AR249" s="29">
        <v>2.0099999999999998</v>
      </c>
      <c r="AS249" s="28">
        <v>0.1</v>
      </c>
      <c r="AT249" s="13">
        <v>1</v>
      </c>
      <c r="AU249" s="29">
        <v>1.3</v>
      </c>
      <c r="AV249" s="2">
        <v>1</v>
      </c>
      <c r="AW249" s="2">
        <v>1</v>
      </c>
    </row>
    <row r="250" spans="1:49" x14ac:dyDescent="0.2">
      <c r="A250" s="3">
        <v>301</v>
      </c>
      <c r="B250" t="s">
        <v>25</v>
      </c>
      <c r="C250" s="2">
        <v>56.9</v>
      </c>
      <c r="D250" s="4">
        <v>2</v>
      </c>
      <c r="E250" s="4">
        <v>1</v>
      </c>
      <c r="F250" s="5"/>
      <c r="G250" s="5"/>
      <c r="H250">
        <v>1</v>
      </c>
      <c r="I250" t="s">
        <v>26</v>
      </c>
      <c r="J250" s="2">
        <v>1</v>
      </c>
      <c r="M250" s="2">
        <v>1.5</v>
      </c>
      <c r="N250">
        <v>2</v>
      </c>
      <c r="O250">
        <v>2</v>
      </c>
      <c r="P250">
        <v>2</v>
      </c>
      <c r="T250" s="1"/>
      <c r="U250" s="1"/>
      <c r="V250" s="13"/>
      <c r="W250" s="1"/>
      <c r="Y250" s="4"/>
      <c r="Z250">
        <v>1</v>
      </c>
      <c r="AA250">
        <v>3</v>
      </c>
      <c r="AB250">
        <v>1</v>
      </c>
      <c r="AC250" s="2">
        <v>1</v>
      </c>
      <c r="AD250" s="19"/>
      <c r="AE250" s="2">
        <v>2</v>
      </c>
      <c r="AF250" s="2">
        <v>2</v>
      </c>
      <c r="AH250" s="5"/>
      <c r="AI250" s="10"/>
      <c r="AK250" s="2">
        <v>1</v>
      </c>
      <c r="AL250" s="3">
        <v>100</v>
      </c>
      <c r="AM250" s="26">
        <v>150</v>
      </c>
      <c r="AN250" s="29">
        <v>1</v>
      </c>
      <c r="AO250" s="38">
        <v>1</v>
      </c>
      <c r="AP250" s="34">
        <v>10</v>
      </c>
      <c r="AQ250" s="2">
        <v>131</v>
      </c>
      <c r="AR250" s="29">
        <v>1.7</v>
      </c>
      <c r="AS250" s="28">
        <v>0.1</v>
      </c>
      <c r="AT250" s="13">
        <v>1</v>
      </c>
      <c r="AU250" s="29">
        <v>20</v>
      </c>
      <c r="AV250" s="2">
        <v>1</v>
      </c>
      <c r="AW250" s="2">
        <v>1</v>
      </c>
    </row>
    <row r="251" spans="1:49" x14ac:dyDescent="0.2">
      <c r="A251" s="3">
        <v>231</v>
      </c>
      <c r="B251" t="s">
        <v>25</v>
      </c>
      <c r="C251" s="2">
        <v>29.9</v>
      </c>
      <c r="D251" s="4">
        <v>2</v>
      </c>
      <c r="E251" s="4">
        <v>2</v>
      </c>
      <c r="F251" s="5"/>
      <c r="G251" s="5"/>
      <c r="H251">
        <v>1</v>
      </c>
      <c r="I251" t="s">
        <v>26</v>
      </c>
      <c r="J251" s="2">
        <v>1</v>
      </c>
      <c r="K251">
        <v>1</v>
      </c>
      <c r="M251" s="2">
        <v>3</v>
      </c>
      <c r="N251">
        <v>3</v>
      </c>
      <c r="O251">
        <v>2</v>
      </c>
      <c r="P251">
        <v>2</v>
      </c>
      <c r="T251" s="1"/>
      <c r="U251" s="1"/>
      <c r="V251" s="13"/>
      <c r="W251" s="1"/>
      <c r="Y251" s="4"/>
      <c r="Z251">
        <v>3</v>
      </c>
      <c r="AA251">
        <v>3</v>
      </c>
      <c r="AB251">
        <v>1</v>
      </c>
      <c r="AC251" s="2">
        <v>1</v>
      </c>
      <c r="AD251" s="19"/>
      <c r="AE251" s="2">
        <v>2</v>
      </c>
      <c r="AF251" s="2">
        <v>4</v>
      </c>
      <c r="AH251" s="5"/>
      <c r="AI251" s="10"/>
      <c r="AJ251" s="35"/>
      <c r="AK251" s="2">
        <v>1</v>
      </c>
      <c r="AL251" s="3">
        <v>30</v>
      </c>
      <c r="AM251" s="27">
        <v>150</v>
      </c>
      <c r="AN251" s="29">
        <v>1.2</v>
      </c>
      <c r="AO251" s="38">
        <v>1</v>
      </c>
      <c r="AP251" s="30">
        <v>10</v>
      </c>
      <c r="AQ251" s="2">
        <v>17.899999999999999</v>
      </c>
      <c r="AR251" s="32">
        <v>454</v>
      </c>
      <c r="AS251" s="28">
        <v>0.1</v>
      </c>
      <c r="AT251" s="13">
        <v>1</v>
      </c>
      <c r="AU251" s="29"/>
      <c r="AV251" s="2">
        <v>1</v>
      </c>
      <c r="AW251" s="2">
        <v>1</v>
      </c>
    </row>
    <row r="252" spans="1:49" x14ac:dyDescent="0.2">
      <c r="A252" s="3">
        <v>53</v>
      </c>
      <c r="B252" t="s">
        <v>25</v>
      </c>
      <c r="C252" s="2">
        <v>50.6</v>
      </c>
      <c r="D252" s="4">
        <v>2</v>
      </c>
      <c r="E252" s="4">
        <v>2</v>
      </c>
      <c r="F252" s="5">
        <v>1</v>
      </c>
      <c r="G252" s="5">
        <v>36.6</v>
      </c>
      <c r="H252">
        <v>1</v>
      </c>
      <c r="I252" t="s">
        <v>26</v>
      </c>
      <c r="J252" s="2">
        <v>1</v>
      </c>
      <c r="K252">
        <v>1</v>
      </c>
      <c r="M252" s="2">
        <v>0.7</v>
      </c>
      <c r="N252">
        <v>1</v>
      </c>
      <c r="O252">
        <v>1</v>
      </c>
      <c r="P252">
        <v>1</v>
      </c>
      <c r="Q252">
        <v>2</v>
      </c>
      <c r="R252">
        <v>2</v>
      </c>
      <c r="T252" s="1"/>
      <c r="U252" s="1"/>
      <c r="V252" s="13"/>
      <c r="W252" s="1"/>
      <c r="Y252" s="4">
        <v>1</v>
      </c>
      <c r="Z252">
        <v>1</v>
      </c>
      <c r="AA252">
        <v>3</v>
      </c>
      <c r="AB252">
        <v>1</v>
      </c>
      <c r="AC252" s="2">
        <v>1</v>
      </c>
      <c r="AD252" s="19"/>
      <c r="AE252" s="2">
        <v>1</v>
      </c>
      <c r="AF252" s="2">
        <v>3</v>
      </c>
      <c r="AH252" s="5"/>
      <c r="AI252" s="10"/>
      <c r="AJ252" s="35"/>
      <c r="AK252" s="2">
        <v>1</v>
      </c>
      <c r="AL252" s="3">
        <v>100</v>
      </c>
      <c r="AM252" s="27">
        <v>150</v>
      </c>
      <c r="AN252" s="29">
        <v>1.8</v>
      </c>
      <c r="AO252" s="38">
        <v>1</v>
      </c>
      <c r="AP252" s="30">
        <v>10</v>
      </c>
      <c r="AQ252" s="2">
        <v>200.4</v>
      </c>
      <c r="AR252" s="29">
        <v>0.85</v>
      </c>
      <c r="AS252" s="34">
        <v>0.05</v>
      </c>
      <c r="AT252" s="13">
        <v>1</v>
      </c>
      <c r="AU252" s="29">
        <v>1.3</v>
      </c>
      <c r="AV252" s="2">
        <v>1</v>
      </c>
      <c r="AW252" s="2">
        <v>1</v>
      </c>
    </row>
    <row r="253" spans="1:49" x14ac:dyDescent="0.2">
      <c r="A253" s="3">
        <v>166</v>
      </c>
      <c r="B253" t="s">
        <v>27</v>
      </c>
      <c r="C253" s="2">
        <v>41.1</v>
      </c>
      <c r="D253" s="4">
        <v>2</v>
      </c>
      <c r="E253" s="4">
        <v>2</v>
      </c>
      <c r="F253" s="5">
        <v>1</v>
      </c>
      <c r="G253" s="5">
        <v>28.4</v>
      </c>
      <c r="H253">
        <v>2</v>
      </c>
      <c r="I253" t="s">
        <v>26</v>
      </c>
      <c r="J253" s="2">
        <v>1</v>
      </c>
      <c r="K253">
        <v>3</v>
      </c>
      <c r="M253" s="2">
        <v>3</v>
      </c>
      <c r="N253">
        <v>1</v>
      </c>
      <c r="O253">
        <v>1</v>
      </c>
      <c r="P253">
        <v>2</v>
      </c>
      <c r="Q253">
        <v>2</v>
      </c>
      <c r="R253">
        <v>2</v>
      </c>
      <c r="S253">
        <v>2</v>
      </c>
      <c r="T253" s="1"/>
      <c r="U253" s="1"/>
      <c r="V253" s="13"/>
      <c r="W253" s="1"/>
      <c r="Y253" s="4">
        <v>1</v>
      </c>
      <c r="Z253">
        <v>2</v>
      </c>
      <c r="AA253">
        <v>0</v>
      </c>
      <c r="AB253">
        <v>1</v>
      </c>
      <c r="AC253" s="2">
        <v>1</v>
      </c>
      <c r="AD253" s="19"/>
      <c r="AE253" s="2">
        <v>1</v>
      </c>
      <c r="AF253" s="2">
        <v>2</v>
      </c>
      <c r="AH253" s="9"/>
      <c r="AI253" s="10"/>
      <c r="AJ253" s="35"/>
      <c r="AK253" s="2">
        <v>1</v>
      </c>
      <c r="AL253" s="3">
        <v>100</v>
      </c>
      <c r="AM253" s="26">
        <v>150</v>
      </c>
      <c r="AN253" s="29">
        <v>2.19</v>
      </c>
      <c r="AO253" s="38">
        <v>1</v>
      </c>
      <c r="AP253" s="34">
        <v>10</v>
      </c>
      <c r="AQ253" s="2">
        <v>128.6</v>
      </c>
      <c r="AR253" s="29">
        <v>0.13500000000000001</v>
      </c>
      <c r="AS253" s="34">
        <f>0.04/2</f>
        <v>0.02</v>
      </c>
      <c r="AT253" s="13">
        <v>1</v>
      </c>
      <c r="AU253" s="29">
        <v>11.2</v>
      </c>
      <c r="AV253" s="2">
        <v>1</v>
      </c>
      <c r="AW253" s="2">
        <v>1</v>
      </c>
    </row>
    <row r="254" spans="1:49" x14ac:dyDescent="0.2">
      <c r="A254" s="3">
        <v>153</v>
      </c>
      <c r="B254" t="s">
        <v>25</v>
      </c>
      <c r="C254" s="2">
        <v>60.6</v>
      </c>
      <c r="D254" s="4">
        <v>2</v>
      </c>
      <c r="E254" s="4">
        <v>2</v>
      </c>
      <c r="F254" s="5">
        <v>1</v>
      </c>
      <c r="G254" s="5">
        <v>26.6</v>
      </c>
      <c r="H254">
        <v>1</v>
      </c>
      <c r="I254" t="s">
        <v>26</v>
      </c>
      <c r="J254" s="2">
        <v>1</v>
      </c>
      <c r="K254">
        <v>3</v>
      </c>
      <c r="M254" s="2">
        <v>1</v>
      </c>
      <c r="N254">
        <v>1</v>
      </c>
      <c r="O254">
        <v>1</v>
      </c>
      <c r="P254">
        <v>1</v>
      </c>
      <c r="Q254">
        <v>2</v>
      </c>
      <c r="R254">
        <v>2</v>
      </c>
      <c r="S254">
        <v>2</v>
      </c>
      <c r="T254" s="1"/>
      <c r="U254" s="1"/>
      <c r="V254" s="13"/>
      <c r="W254" s="1"/>
      <c r="Y254" s="4">
        <v>1</v>
      </c>
      <c r="Z254">
        <v>1</v>
      </c>
      <c r="AA254">
        <v>0</v>
      </c>
      <c r="AB254">
        <v>1</v>
      </c>
      <c r="AC254" s="2">
        <v>1</v>
      </c>
      <c r="AD254" s="19"/>
      <c r="AE254" s="2">
        <v>1</v>
      </c>
      <c r="AF254" s="2">
        <v>3</v>
      </c>
      <c r="AH254" s="9"/>
      <c r="AI254" s="10"/>
      <c r="AJ254" s="35"/>
      <c r="AK254" s="2">
        <v>1</v>
      </c>
      <c r="AL254" s="3">
        <v>100</v>
      </c>
      <c r="AM254" s="27">
        <v>150</v>
      </c>
      <c r="AN254" s="29">
        <v>3.6</v>
      </c>
      <c r="AO254" s="38">
        <v>1</v>
      </c>
      <c r="AP254" s="34">
        <v>10</v>
      </c>
      <c r="AQ254" s="2">
        <v>117.2</v>
      </c>
      <c r="AR254" s="29">
        <v>0.59</v>
      </c>
      <c r="AS254" s="34">
        <v>0.1</v>
      </c>
      <c r="AT254" s="13">
        <v>1</v>
      </c>
      <c r="AU254" s="29">
        <v>20</v>
      </c>
      <c r="AV254" s="2">
        <v>1</v>
      </c>
      <c r="AW254" s="2">
        <v>1</v>
      </c>
    </row>
    <row r="255" spans="1:49" x14ac:dyDescent="0.2">
      <c r="A255" s="3">
        <v>197</v>
      </c>
      <c r="B255" t="s">
        <v>27</v>
      </c>
      <c r="C255" s="2">
        <v>25.3</v>
      </c>
      <c r="D255" s="4">
        <v>2</v>
      </c>
      <c r="E255" s="4">
        <v>2</v>
      </c>
      <c r="F255" s="5">
        <v>3</v>
      </c>
      <c r="G255" s="5">
        <v>28</v>
      </c>
      <c r="H255">
        <v>1</v>
      </c>
      <c r="I255" t="s">
        <v>26</v>
      </c>
      <c r="J255" s="2">
        <v>1</v>
      </c>
      <c r="M255" s="2">
        <v>1.5</v>
      </c>
      <c r="N255">
        <v>1</v>
      </c>
      <c r="O255">
        <v>1</v>
      </c>
      <c r="P255">
        <v>2</v>
      </c>
      <c r="Q255">
        <v>2</v>
      </c>
      <c r="T255" s="1"/>
      <c r="U255" s="1"/>
      <c r="V255" s="13"/>
      <c r="W255" s="1"/>
      <c r="Y255" s="4"/>
      <c r="Z255">
        <v>1</v>
      </c>
      <c r="AA255">
        <v>1</v>
      </c>
      <c r="AB255">
        <v>1</v>
      </c>
      <c r="AC255" s="2">
        <v>1</v>
      </c>
      <c r="AD255" s="19"/>
      <c r="AE255" s="2">
        <v>2</v>
      </c>
      <c r="AF255" s="2">
        <v>2</v>
      </c>
      <c r="AG255" s="13">
        <v>5.4</v>
      </c>
      <c r="AH255" s="15">
        <v>18.2</v>
      </c>
      <c r="AI255" s="4">
        <v>1</v>
      </c>
      <c r="AJ255" s="24">
        <v>10</v>
      </c>
      <c r="AK255" s="2">
        <v>1</v>
      </c>
      <c r="AL255" s="3">
        <v>100</v>
      </c>
      <c r="AM255" s="26">
        <v>104</v>
      </c>
      <c r="AN255" s="29">
        <v>16</v>
      </c>
      <c r="AO255" s="38">
        <v>1</v>
      </c>
      <c r="AP255" s="34">
        <v>10</v>
      </c>
      <c r="AQ255" s="2">
        <v>110.4</v>
      </c>
      <c r="AR255" s="29">
        <v>8.65</v>
      </c>
      <c r="AS255" s="28">
        <v>0.1</v>
      </c>
      <c r="AT255" s="13">
        <v>1</v>
      </c>
      <c r="AU255" s="29">
        <v>20</v>
      </c>
      <c r="AV255" s="2">
        <v>1</v>
      </c>
      <c r="AW255" s="2">
        <v>1</v>
      </c>
    </row>
    <row r="256" spans="1:49" x14ac:dyDescent="0.2">
      <c r="A256" s="3">
        <v>146</v>
      </c>
      <c r="B256" t="s">
        <v>25</v>
      </c>
      <c r="C256" s="2">
        <v>26.6</v>
      </c>
      <c r="D256" s="4">
        <v>2</v>
      </c>
      <c r="E256" s="4">
        <v>2</v>
      </c>
      <c r="F256" s="5"/>
      <c r="G256" s="5"/>
      <c r="H256">
        <v>1</v>
      </c>
      <c r="I256" t="s">
        <v>26</v>
      </c>
      <c r="J256" s="2">
        <v>1</v>
      </c>
      <c r="K256">
        <v>1</v>
      </c>
      <c r="M256" s="2">
        <v>2.8</v>
      </c>
      <c r="O256">
        <v>2</v>
      </c>
      <c r="P256">
        <v>2</v>
      </c>
      <c r="T256" s="1"/>
      <c r="U256" s="1"/>
      <c r="V256" s="13"/>
      <c r="W256" s="1"/>
      <c r="Y256" s="4">
        <v>2</v>
      </c>
      <c r="Z256">
        <v>2</v>
      </c>
      <c r="AA256">
        <v>3</v>
      </c>
      <c r="AB256">
        <v>1</v>
      </c>
      <c r="AC256" s="2">
        <v>1</v>
      </c>
      <c r="AD256" s="19"/>
      <c r="AE256" s="2">
        <v>1</v>
      </c>
      <c r="AF256" s="2">
        <v>1</v>
      </c>
      <c r="AH256" s="9"/>
      <c r="AI256" s="10"/>
      <c r="AJ256" s="35"/>
      <c r="AK256" s="2">
        <v>1</v>
      </c>
      <c r="AL256" s="3">
        <v>100</v>
      </c>
      <c r="AM256" s="27">
        <v>150</v>
      </c>
      <c r="AN256" s="29">
        <v>6.8</v>
      </c>
      <c r="AO256" s="38">
        <v>1</v>
      </c>
      <c r="AP256" s="34">
        <v>10</v>
      </c>
      <c r="AQ256" s="2">
        <v>107.6</v>
      </c>
      <c r="AR256" s="29">
        <v>1.65</v>
      </c>
      <c r="AS256" s="34">
        <v>0.1</v>
      </c>
      <c r="AT256" s="13">
        <v>1</v>
      </c>
      <c r="AU256" s="29">
        <v>20</v>
      </c>
      <c r="AV256" s="2">
        <v>1</v>
      </c>
      <c r="AW256" s="2">
        <v>1</v>
      </c>
    </row>
    <row r="257" spans="1:49" x14ac:dyDescent="0.2">
      <c r="A257" s="3">
        <v>95</v>
      </c>
      <c r="B257" t="s">
        <v>25</v>
      </c>
      <c r="C257" s="2">
        <v>33.5</v>
      </c>
      <c r="D257" s="4">
        <v>2</v>
      </c>
      <c r="E257" s="4">
        <v>2</v>
      </c>
      <c r="F257" s="5">
        <v>1</v>
      </c>
      <c r="G257" s="5">
        <v>43.4</v>
      </c>
      <c r="H257">
        <v>1</v>
      </c>
      <c r="I257" t="s">
        <v>26</v>
      </c>
      <c r="J257" s="2">
        <v>2</v>
      </c>
      <c r="L257">
        <v>3</v>
      </c>
      <c r="M257" s="2">
        <v>6.5</v>
      </c>
      <c r="N257">
        <v>1</v>
      </c>
      <c r="O257">
        <v>2</v>
      </c>
      <c r="P257">
        <v>2</v>
      </c>
      <c r="Q257">
        <v>1</v>
      </c>
      <c r="R257">
        <v>2</v>
      </c>
      <c r="S257">
        <v>2</v>
      </c>
      <c r="T257" s="1"/>
      <c r="U257" s="1"/>
      <c r="V257" s="13"/>
      <c r="W257" s="1"/>
      <c r="Y257" s="4"/>
      <c r="Z257">
        <v>3</v>
      </c>
      <c r="AA257">
        <v>0</v>
      </c>
      <c r="AB257">
        <v>1</v>
      </c>
      <c r="AC257" s="2">
        <v>1</v>
      </c>
      <c r="AD257" s="19"/>
      <c r="AE257" s="2">
        <v>3</v>
      </c>
      <c r="AF257" s="2">
        <v>4</v>
      </c>
      <c r="AH257" s="9"/>
      <c r="AI257" s="10"/>
      <c r="AJ257" s="35"/>
      <c r="AK257" s="2">
        <v>1</v>
      </c>
      <c r="AL257" s="3">
        <v>150</v>
      </c>
      <c r="AM257" s="26">
        <v>150</v>
      </c>
      <c r="AN257" s="29">
        <v>9.5500000000000007</v>
      </c>
      <c r="AO257" s="39"/>
      <c r="AP257" s="28"/>
      <c r="AQ257" s="2">
        <v>171.5</v>
      </c>
      <c r="AR257" s="29">
        <v>0.54</v>
      </c>
      <c r="AS257" s="28">
        <v>0.1</v>
      </c>
      <c r="AT257" s="13">
        <v>1</v>
      </c>
      <c r="AU257" s="29">
        <v>1.8</v>
      </c>
      <c r="AV257" s="2">
        <v>1</v>
      </c>
      <c r="AW257" s="2">
        <v>1</v>
      </c>
    </row>
    <row r="258" spans="1:49" x14ac:dyDescent="0.2">
      <c r="A258" s="3">
        <v>57</v>
      </c>
      <c r="B258" t="s">
        <v>25</v>
      </c>
      <c r="C258" s="2">
        <v>45.1</v>
      </c>
      <c r="D258" s="4">
        <v>2</v>
      </c>
      <c r="E258" s="4">
        <v>2</v>
      </c>
      <c r="F258" s="5">
        <v>1</v>
      </c>
      <c r="G258" s="5">
        <v>25</v>
      </c>
      <c r="H258">
        <v>1</v>
      </c>
      <c r="I258" t="s">
        <v>26</v>
      </c>
      <c r="J258" s="2">
        <v>2</v>
      </c>
      <c r="L258">
        <v>1</v>
      </c>
      <c r="M258" s="2">
        <v>2.2000000000000002</v>
      </c>
      <c r="N258">
        <v>1</v>
      </c>
      <c r="O258">
        <v>2</v>
      </c>
      <c r="P258">
        <v>2</v>
      </c>
      <c r="Q258">
        <v>2</v>
      </c>
      <c r="R258">
        <v>2</v>
      </c>
      <c r="T258" s="1"/>
      <c r="U258" s="1"/>
      <c r="V258" s="13"/>
      <c r="W258" s="1"/>
      <c r="Y258" s="4">
        <v>1</v>
      </c>
      <c r="Z258">
        <v>2</v>
      </c>
      <c r="AA258">
        <v>3</v>
      </c>
      <c r="AB258">
        <v>1</v>
      </c>
      <c r="AC258" s="2">
        <v>1</v>
      </c>
      <c r="AD258" s="19"/>
      <c r="AE258" s="2">
        <v>1</v>
      </c>
      <c r="AF258" s="2">
        <v>1</v>
      </c>
      <c r="AH258" s="9"/>
      <c r="AI258" s="10"/>
      <c r="AJ258" s="35"/>
      <c r="AK258" s="2">
        <v>1</v>
      </c>
      <c r="AL258" s="3">
        <v>150</v>
      </c>
      <c r="AM258" s="27">
        <v>150</v>
      </c>
      <c r="AN258" s="29">
        <v>9.6999999999999993</v>
      </c>
      <c r="AO258" s="38">
        <v>1</v>
      </c>
      <c r="AP258" s="34">
        <v>10</v>
      </c>
      <c r="AQ258" s="2">
        <v>221.3</v>
      </c>
      <c r="AR258" s="29">
        <v>2.65</v>
      </c>
      <c r="AS258" s="28">
        <v>0.2</v>
      </c>
      <c r="AT258" s="13">
        <v>1</v>
      </c>
      <c r="AU258" s="29">
        <v>20</v>
      </c>
      <c r="AV258" s="2">
        <v>1</v>
      </c>
      <c r="AW258" s="2">
        <v>1</v>
      </c>
    </row>
    <row r="259" spans="1:49" x14ac:dyDescent="0.2">
      <c r="A259" s="3">
        <v>133</v>
      </c>
      <c r="B259" t="s">
        <v>25</v>
      </c>
      <c r="C259" s="2">
        <v>49.1</v>
      </c>
      <c r="D259" s="4">
        <v>2</v>
      </c>
      <c r="E259" s="4">
        <v>2</v>
      </c>
      <c r="F259" s="5">
        <v>1</v>
      </c>
      <c r="G259" s="5">
        <v>29.7</v>
      </c>
      <c r="H259">
        <v>2</v>
      </c>
      <c r="I259" t="s">
        <v>26</v>
      </c>
      <c r="J259" s="2">
        <v>1</v>
      </c>
      <c r="K259">
        <v>1</v>
      </c>
      <c r="M259" s="2">
        <v>1.8</v>
      </c>
      <c r="N259">
        <v>2</v>
      </c>
      <c r="O259">
        <v>1</v>
      </c>
      <c r="P259">
        <v>1</v>
      </c>
      <c r="Q259">
        <v>2</v>
      </c>
      <c r="R259">
        <v>2</v>
      </c>
      <c r="S259">
        <v>1</v>
      </c>
      <c r="T259" s="3">
        <v>5</v>
      </c>
      <c r="U259" s="3">
        <v>3</v>
      </c>
      <c r="V259" s="15">
        <v>60</v>
      </c>
      <c r="W259" s="2">
        <v>0.2</v>
      </c>
      <c r="X259">
        <v>2</v>
      </c>
      <c r="Y259" s="4">
        <v>2</v>
      </c>
      <c r="Z259">
        <v>1</v>
      </c>
      <c r="AA259">
        <v>1</v>
      </c>
      <c r="AB259">
        <v>1</v>
      </c>
      <c r="AC259" s="2">
        <v>1</v>
      </c>
      <c r="AD259" s="19"/>
      <c r="AE259" s="2">
        <v>2</v>
      </c>
      <c r="AF259" s="2">
        <v>3</v>
      </c>
      <c r="AG259" s="13">
        <v>15</v>
      </c>
      <c r="AH259" s="15">
        <v>18.7</v>
      </c>
      <c r="AI259" s="4">
        <v>1</v>
      </c>
      <c r="AJ259" s="24">
        <v>10</v>
      </c>
      <c r="AK259" s="2">
        <v>1</v>
      </c>
      <c r="AL259" s="3">
        <v>100</v>
      </c>
      <c r="AM259" s="26">
        <v>66.2</v>
      </c>
      <c r="AN259" s="29">
        <v>20.6</v>
      </c>
      <c r="AO259" s="38">
        <v>1</v>
      </c>
      <c r="AP259" s="34">
        <v>10</v>
      </c>
      <c r="AQ259" s="2">
        <v>82.7</v>
      </c>
      <c r="AR259" s="29">
        <v>0.02</v>
      </c>
      <c r="AS259" s="34">
        <f>0.1/2</f>
        <v>0.05</v>
      </c>
      <c r="AT259" s="13">
        <v>1</v>
      </c>
      <c r="AU259" s="29">
        <v>20</v>
      </c>
      <c r="AV259" s="2">
        <v>1</v>
      </c>
      <c r="AW259" s="2">
        <v>1</v>
      </c>
    </row>
    <row r="260" spans="1:49" x14ac:dyDescent="0.2">
      <c r="A260" s="3">
        <v>164</v>
      </c>
      <c r="B260" t="s">
        <v>25</v>
      </c>
      <c r="C260" s="2">
        <v>60</v>
      </c>
      <c r="D260" s="4">
        <v>2</v>
      </c>
      <c r="E260" s="4">
        <v>2</v>
      </c>
      <c r="F260" s="5">
        <v>1</v>
      </c>
      <c r="G260" s="5">
        <v>27.3</v>
      </c>
      <c r="H260">
        <v>2</v>
      </c>
      <c r="I260" t="s">
        <v>28</v>
      </c>
      <c r="J260" s="2">
        <v>1</v>
      </c>
      <c r="K260">
        <v>1</v>
      </c>
      <c r="M260" s="2">
        <v>0.5</v>
      </c>
      <c r="N260">
        <v>1</v>
      </c>
      <c r="O260">
        <v>2</v>
      </c>
      <c r="P260">
        <v>2</v>
      </c>
      <c r="Q260">
        <v>2</v>
      </c>
      <c r="R260">
        <v>2</v>
      </c>
      <c r="S260">
        <v>2</v>
      </c>
      <c r="T260" s="1"/>
      <c r="U260" s="1"/>
      <c r="V260" s="13"/>
      <c r="W260" s="1"/>
      <c r="Y260" s="4">
        <v>2</v>
      </c>
      <c r="Z260">
        <v>1</v>
      </c>
      <c r="AA260">
        <v>1</v>
      </c>
      <c r="AB260">
        <v>1</v>
      </c>
      <c r="AC260" s="2">
        <v>2</v>
      </c>
      <c r="AD260" s="19"/>
      <c r="AE260" s="2">
        <v>2</v>
      </c>
      <c r="AF260" s="2">
        <v>2</v>
      </c>
      <c r="AG260" s="13">
        <v>54</v>
      </c>
      <c r="AH260" s="15">
        <v>48</v>
      </c>
      <c r="AI260" s="4">
        <v>1</v>
      </c>
      <c r="AJ260" s="15">
        <v>40</v>
      </c>
      <c r="AK260" s="2">
        <v>1</v>
      </c>
      <c r="AL260" s="3">
        <v>150</v>
      </c>
      <c r="AM260" s="26">
        <v>53</v>
      </c>
      <c r="AN260" s="29">
        <v>11.8</v>
      </c>
      <c r="AO260" s="38">
        <v>1</v>
      </c>
      <c r="AP260" s="34">
        <v>10</v>
      </c>
      <c r="AQ260" s="2">
        <v>99.6</v>
      </c>
      <c r="AR260" s="29">
        <v>0.05</v>
      </c>
      <c r="AS260" s="34">
        <v>0.1</v>
      </c>
      <c r="AT260" s="13">
        <v>1</v>
      </c>
      <c r="AU260" s="29">
        <v>20</v>
      </c>
      <c r="AV260" s="2">
        <v>1</v>
      </c>
      <c r="AW260" s="2">
        <v>1</v>
      </c>
    </row>
    <row r="261" spans="1:49" x14ac:dyDescent="0.2">
      <c r="A261" s="3">
        <v>241</v>
      </c>
      <c r="B261" t="s">
        <v>25</v>
      </c>
      <c r="C261" s="2">
        <v>41.1</v>
      </c>
      <c r="D261" s="4">
        <v>2</v>
      </c>
      <c r="E261" s="4">
        <v>2</v>
      </c>
      <c r="F261" s="5">
        <v>1</v>
      </c>
      <c r="G261" s="5">
        <v>25.9</v>
      </c>
      <c r="H261">
        <v>1</v>
      </c>
      <c r="I261" t="s">
        <v>26</v>
      </c>
      <c r="J261" s="2">
        <v>1</v>
      </c>
      <c r="K261">
        <v>3</v>
      </c>
      <c r="M261" s="2">
        <v>3</v>
      </c>
      <c r="N261">
        <v>1</v>
      </c>
      <c r="O261">
        <v>2</v>
      </c>
      <c r="P261">
        <v>2</v>
      </c>
      <c r="Q261">
        <v>2</v>
      </c>
      <c r="R261">
        <v>2</v>
      </c>
      <c r="S261">
        <v>2</v>
      </c>
      <c r="T261" s="1"/>
      <c r="U261" s="1"/>
      <c r="V261" s="13"/>
      <c r="W261" s="1"/>
      <c r="Y261" s="4">
        <v>2</v>
      </c>
      <c r="Z261">
        <v>2</v>
      </c>
      <c r="AA261">
        <v>0</v>
      </c>
      <c r="AB261">
        <v>1</v>
      </c>
      <c r="AC261" s="2">
        <v>1</v>
      </c>
      <c r="AD261" s="19"/>
      <c r="AE261" s="2">
        <v>1</v>
      </c>
      <c r="AF261" s="2">
        <v>1</v>
      </c>
      <c r="AH261" s="5"/>
      <c r="AI261" s="10"/>
      <c r="AJ261" s="35"/>
      <c r="AK261" s="2">
        <v>1</v>
      </c>
      <c r="AL261" s="3">
        <v>100</v>
      </c>
      <c r="AM261" s="26">
        <v>150</v>
      </c>
      <c r="AN261" s="29">
        <v>16.2</v>
      </c>
      <c r="AO261" s="38">
        <v>1</v>
      </c>
      <c r="AP261" s="34">
        <v>10</v>
      </c>
      <c r="AQ261" s="2">
        <v>161.5</v>
      </c>
      <c r="AR261" s="29">
        <v>6.5</v>
      </c>
      <c r="AS261" s="34">
        <f>0.1/2</f>
        <v>0.05</v>
      </c>
      <c r="AT261" s="13">
        <v>1</v>
      </c>
      <c r="AU261" s="29">
        <v>1.3</v>
      </c>
      <c r="AV261" s="2">
        <v>1</v>
      </c>
      <c r="AW261" s="2">
        <v>1</v>
      </c>
    </row>
    <row r="262" spans="1:49" x14ac:dyDescent="0.2">
      <c r="A262" s="3">
        <v>309</v>
      </c>
      <c r="B262" t="s">
        <v>25</v>
      </c>
      <c r="C262" s="2">
        <v>53.8</v>
      </c>
      <c r="D262" s="4">
        <v>2</v>
      </c>
      <c r="E262" s="4">
        <v>2</v>
      </c>
      <c r="F262" s="5"/>
      <c r="G262" s="5">
        <v>27.9</v>
      </c>
      <c r="H262">
        <v>1</v>
      </c>
      <c r="I262" t="s">
        <v>26</v>
      </c>
      <c r="J262" s="2">
        <v>1</v>
      </c>
      <c r="M262" s="2">
        <v>0.8</v>
      </c>
      <c r="N262">
        <v>1</v>
      </c>
      <c r="O262">
        <v>2</v>
      </c>
      <c r="P262">
        <v>2</v>
      </c>
      <c r="S262">
        <v>1</v>
      </c>
      <c r="T262" s="3">
        <v>1</v>
      </c>
      <c r="U262" s="3">
        <v>1</v>
      </c>
      <c r="V262" s="13">
        <v>100</v>
      </c>
      <c r="W262" s="2">
        <v>1.1000000000000001</v>
      </c>
      <c r="Y262" s="4">
        <v>1</v>
      </c>
      <c r="Z262">
        <v>1</v>
      </c>
      <c r="AA262">
        <v>1</v>
      </c>
      <c r="AB262">
        <v>1</v>
      </c>
      <c r="AC262" s="2">
        <v>1</v>
      </c>
      <c r="AD262" s="19"/>
      <c r="AE262" s="2">
        <v>2</v>
      </c>
      <c r="AF262" s="2">
        <v>2</v>
      </c>
      <c r="AG262" s="13"/>
      <c r="AH262" s="9"/>
      <c r="AI262" s="4">
        <v>1</v>
      </c>
      <c r="AJ262" s="24">
        <v>10</v>
      </c>
      <c r="AK262" s="2">
        <v>1</v>
      </c>
      <c r="AL262" s="3">
        <v>100</v>
      </c>
      <c r="AM262" s="26">
        <v>49</v>
      </c>
      <c r="AN262" s="29">
        <v>2.2999999999999998</v>
      </c>
      <c r="AO262" s="38">
        <v>1</v>
      </c>
      <c r="AP262" s="34">
        <v>10</v>
      </c>
      <c r="AQ262" s="2">
        <v>194.9</v>
      </c>
      <c r="AR262" s="29">
        <v>10.53</v>
      </c>
      <c r="AS262" s="28">
        <v>0.1</v>
      </c>
      <c r="AT262" s="13">
        <v>1</v>
      </c>
      <c r="AU262" s="29">
        <v>1.3</v>
      </c>
      <c r="AV262" s="2">
        <v>1</v>
      </c>
      <c r="AW262" s="2">
        <v>1</v>
      </c>
    </row>
    <row r="263" spans="1:49" x14ac:dyDescent="0.2">
      <c r="A263" s="3">
        <v>36</v>
      </c>
      <c r="B263" t="s">
        <v>25</v>
      </c>
      <c r="C263" s="2">
        <v>47.1</v>
      </c>
      <c r="D263" s="4">
        <v>2</v>
      </c>
      <c r="E263" s="4">
        <v>2</v>
      </c>
      <c r="F263" s="5">
        <v>1</v>
      </c>
      <c r="G263" s="5">
        <v>28.7</v>
      </c>
      <c r="H263">
        <v>1</v>
      </c>
      <c r="I263" t="s">
        <v>26</v>
      </c>
      <c r="J263" s="2">
        <v>1</v>
      </c>
      <c r="K263">
        <v>1</v>
      </c>
      <c r="M263" s="2">
        <v>0.6</v>
      </c>
      <c r="N263">
        <v>1</v>
      </c>
      <c r="O263">
        <v>1</v>
      </c>
      <c r="P263">
        <v>1</v>
      </c>
      <c r="Q263">
        <v>2</v>
      </c>
      <c r="R263">
        <v>2</v>
      </c>
      <c r="S263">
        <v>1</v>
      </c>
      <c r="T263" s="3">
        <v>1</v>
      </c>
      <c r="U263" s="3">
        <v>1</v>
      </c>
      <c r="V263" s="13">
        <v>100</v>
      </c>
      <c r="W263" s="2">
        <v>0.5</v>
      </c>
      <c r="X263">
        <v>2</v>
      </c>
      <c r="Y263" s="4">
        <v>1</v>
      </c>
      <c r="Z263">
        <v>1</v>
      </c>
      <c r="AA263">
        <v>1</v>
      </c>
      <c r="AB263">
        <v>1</v>
      </c>
      <c r="AC263" s="2">
        <v>1</v>
      </c>
      <c r="AD263" s="19"/>
      <c r="AE263" s="2">
        <v>2</v>
      </c>
      <c r="AF263" s="2">
        <v>3</v>
      </c>
      <c r="AG263" s="13"/>
      <c r="AH263" s="9"/>
      <c r="AI263" s="10"/>
      <c r="AJ263" s="15">
        <v>150</v>
      </c>
      <c r="AK263" s="2">
        <v>1</v>
      </c>
      <c r="AL263" s="3">
        <v>100</v>
      </c>
      <c r="AM263" s="26">
        <v>56</v>
      </c>
      <c r="AN263" s="28">
        <v>0.8</v>
      </c>
      <c r="AO263" s="38">
        <v>2</v>
      </c>
      <c r="AP263" s="28">
        <v>150</v>
      </c>
      <c r="AQ263" s="2">
        <v>141.4</v>
      </c>
      <c r="AR263" s="29">
        <v>5.0999999999999996</v>
      </c>
      <c r="AS263" s="34">
        <f>0.1/2</f>
        <v>0.05</v>
      </c>
      <c r="AT263" s="13">
        <v>1</v>
      </c>
      <c r="AU263" s="29">
        <v>20</v>
      </c>
      <c r="AV263" s="2">
        <v>1</v>
      </c>
      <c r="AW263" s="2">
        <v>1</v>
      </c>
    </row>
    <row r="264" spans="1:49" x14ac:dyDescent="0.2">
      <c r="A264" s="3">
        <v>204</v>
      </c>
      <c r="B264" t="s">
        <v>27</v>
      </c>
      <c r="C264" s="2">
        <v>66.7</v>
      </c>
      <c r="D264" s="4">
        <v>2</v>
      </c>
      <c r="E264" s="4">
        <v>1</v>
      </c>
      <c r="F264" s="5">
        <v>1</v>
      </c>
      <c r="G264" s="5">
        <v>25.6</v>
      </c>
      <c r="H264">
        <v>1</v>
      </c>
      <c r="I264" t="s">
        <v>26</v>
      </c>
      <c r="J264" s="2">
        <v>2</v>
      </c>
      <c r="L264">
        <v>3</v>
      </c>
      <c r="M264" s="2">
        <v>5.0999999999999996</v>
      </c>
      <c r="N264">
        <v>1</v>
      </c>
      <c r="O264">
        <v>2</v>
      </c>
      <c r="P264">
        <v>2</v>
      </c>
      <c r="Q264">
        <v>1</v>
      </c>
      <c r="R264">
        <v>2</v>
      </c>
      <c r="S264">
        <v>2</v>
      </c>
      <c r="T264" s="1"/>
      <c r="U264" s="1"/>
      <c r="V264" s="13"/>
      <c r="W264" s="1"/>
      <c r="Y264" s="4"/>
      <c r="Z264">
        <v>3</v>
      </c>
      <c r="AA264">
        <v>0</v>
      </c>
      <c r="AB264">
        <v>1</v>
      </c>
      <c r="AC264" s="2">
        <v>2</v>
      </c>
      <c r="AD264" s="19"/>
      <c r="AE264" s="2">
        <v>3</v>
      </c>
      <c r="AF264" s="2">
        <v>4</v>
      </c>
      <c r="AH264" s="5"/>
      <c r="AI264" s="10"/>
      <c r="AJ264" s="35"/>
      <c r="AK264" s="2">
        <v>1</v>
      </c>
      <c r="AL264" s="3">
        <v>200</v>
      </c>
      <c r="AM264" s="27">
        <v>150</v>
      </c>
      <c r="AN264" s="29">
        <v>49.29</v>
      </c>
      <c r="AO264" s="38">
        <v>1</v>
      </c>
      <c r="AP264" s="34">
        <v>10</v>
      </c>
      <c r="AQ264" s="2">
        <v>43.5</v>
      </c>
      <c r="AR264" s="29">
        <v>0.06</v>
      </c>
      <c r="AS264" s="28">
        <v>4.0999999999999996</v>
      </c>
      <c r="AT264" s="13">
        <v>1</v>
      </c>
      <c r="AU264" s="29">
        <v>20</v>
      </c>
      <c r="AV264" s="2">
        <v>3</v>
      </c>
      <c r="AW264" s="2">
        <v>3</v>
      </c>
    </row>
    <row r="265" spans="1:49" x14ac:dyDescent="0.2">
      <c r="A265" s="3">
        <v>210</v>
      </c>
      <c r="B265" t="s">
        <v>25</v>
      </c>
      <c r="C265" s="2">
        <v>45.3</v>
      </c>
      <c r="D265" s="4">
        <v>2</v>
      </c>
      <c r="E265" s="4">
        <v>1</v>
      </c>
      <c r="F265" s="5">
        <v>1</v>
      </c>
      <c r="G265" s="5">
        <v>33.5</v>
      </c>
      <c r="H265">
        <v>1</v>
      </c>
      <c r="I265" t="s">
        <v>26</v>
      </c>
      <c r="J265" s="2">
        <v>1</v>
      </c>
      <c r="K265">
        <v>1</v>
      </c>
      <c r="M265" s="2">
        <v>4</v>
      </c>
      <c r="N265">
        <v>1</v>
      </c>
      <c r="O265">
        <v>1</v>
      </c>
      <c r="P265">
        <v>1</v>
      </c>
      <c r="Q265">
        <v>2</v>
      </c>
      <c r="R265">
        <v>2</v>
      </c>
      <c r="T265" s="1"/>
      <c r="U265" s="1"/>
      <c r="V265" s="13"/>
      <c r="W265" s="1"/>
      <c r="Y265" s="4">
        <v>1</v>
      </c>
      <c r="Z265">
        <v>2</v>
      </c>
      <c r="AA265">
        <v>3</v>
      </c>
      <c r="AB265">
        <v>1</v>
      </c>
      <c r="AC265" s="2">
        <v>1</v>
      </c>
      <c r="AD265" s="19"/>
      <c r="AE265" s="2">
        <v>1</v>
      </c>
      <c r="AF265" s="2">
        <v>3</v>
      </c>
      <c r="AH265" s="9"/>
      <c r="AI265" s="10"/>
      <c r="AJ265" s="35"/>
      <c r="AK265" s="2">
        <v>1</v>
      </c>
      <c r="AL265" s="3">
        <v>100</v>
      </c>
      <c r="AM265" s="26">
        <v>150</v>
      </c>
      <c r="AN265" s="29">
        <v>53.1</v>
      </c>
      <c r="AO265" s="38">
        <v>1</v>
      </c>
      <c r="AP265" s="34">
        <v>10</v>
      </c>
      <c r="AQ265" s="2">
        <v>232.4</v>
      </c>
      <c r="AR265" s="29">
        <v>134</v>
      </c>
      <c r="AS265" s="28">
        <v>12.5</v>
      </c>
      <c r="AT265" s="13">
        <v>1</v>
      </c>
      <c r="AU265" s="29">
        <v>20</v>
      </c>
      <c r="AV265" s="2">
        <v>1</v>
      </c>
      <c r="AW265" s="2">
        <v>1</v>
      </c>
    </row>
    <row r="266" spans="1:49" x14ac:dyDescent="0.2">
      <c r="A266" s="3">
        <v>60</v>
      </c>
      <c r="B266" t="s">
        <v>25</v>
      </c>
      <c r="C266" s="2">
        <v>52.4</v>
      </c>
      <c r="D266" s="4">
        <v>2</v>
      </c>
      <c r="E266" s="4">
        <v>2</v>
      </c>
      <c r="F266" s="5">
        <v>2</v>
      </c>
      <c r="G266" s="5">
        <v>27.4</v>
      </c>
      <c r="H266">
        <v>2</v>
      </c>
      <c r="I266" t="s">
        <v>26</v>
      </c>
      <c r="J266" s="2">
        <v>1</v>
      </c>
      <c r="K266">
        <v>1</v>
      </c>
      <c r="M266" s="2">
        <v>2</v>
      </c>
      <c r="N266">
        <v>2</v>
      </c>
      <c r="O266">
        <v>1</v>
      </c>
      <c r="P266">
        <v>1</v>
      </c>
      <c r="S266">
        <v>1</v>
      </c>
      <c r="T266" s="3">
        <v>22</v>
      </c>
      <c r="U266" s="3">
        <v>4</v>
      </c>
      <c r="V266" s="13">
        <v>18.18</v>
      </c>
      <c r="W266" s="2">
        <v>0.5</v>
      </c>
      <c r="X266">
        <v>2</v>
      </c>
      <c r="Y266" s="4">
        <v>2</v>
      </c>
      <c r="Z266">
        <v>1</v>
      </c>
      <c r="AA266">
        <v>1</v>
      </c>
      <c r="AB266">
        <v>2</v>
      </c>
      <c r="AC266" s="2">
        <v>2</v>
      </c>
      <c r="AD266" s="19"/>
      <c r="AE266" s="2">
        <v>3</v>
      </c>
      <c r="AF266" s="2">
        <v>4</v>
      </c>
      <c r="AH266" s="9"/>
      <c r="AI266" s="10"/>
      <c r="AJ266" s="35"/>
      <c r="AK266" s="2">
        <v>1</v>
      </c>
      <c r="AL266" s="3">
        <v>200</v>
      </c>
      <c r="AM266" s="26">
        <v>39</v>
      </c>
      <c r="AN266" s="29">
        <v>139</v>
      </c>
      <c r="AO266" s="38">
        <v>1</v>
      </c>
      <c r="AP266" s="34">
        <v>10</v>
      </c>
      <c r="AQ266" s="2">
        <v>182.6</v>
      </c>
      <c r="AR266" s="29">
        <v>0.02</v>
      </c>
      <c r="AS266" s="28">
        <v>0.62</v>
      </c>
      <c r="AT266" s="13">
        <v>1</v>
      </c>
      <c r="AU266" s="29">
        <v>20</v>
      </c>
      <c r="AV266" s="2">
        <v>4</v>
      </c>
      <c r="AW266" s="2">
        <v>4</v>
      </c>
    </row>
    <row r="267" spans="1:49" x14ac:dyDescent="0.2">
      <c r="A267" s="3">
        <v>419</v>
      </c>
      <c r="B267" t="s">
        <v>27</v>
      </c>
      <c r="C267" s="2">
        <v>43.6</v>
      </c>
      <c r="D267" s="6">
        <v>2</v>
      </c>
      <c r="E267" s="6">
        <v>2</v>
      </c>
      <c r="F267" s="7">
        <v>1</v>
      </c>
      <c r="G267" s="7">
        <v>31.2</v>
      </c>
      <c r="H267">
        <v>2</v>
      </c>
      <c r="I267" t="s">
        <v>26</v>
      </c>
      <c r="J267" s="2">
        <v>1</v>
      </c>
      <c r="K267">
        <v>4</v>
      </c>
      <c r="M267" s="2">
        <v>6.5</v>
      </c>
      <c r="N267">
        <v>2</v>
      </c>
      <c r="O267">
        <v>1</v>
      </c>
      <c r="P267">
        <v>1</v>
      </c>
      <c r="Q267">
        <v>2</v>
      </c>
      <c r="R267">
        <v>2</v>
      </c>
      <c r="S267">
        <v>1</v>
      </c>
      <c r="T267" s="3">
        <v>19</v>
      </c>
      <c r="U267" s="3">
        <v>1</v>
      </c>
      <c r="V267" s="14">
        <v>5.26</v>
      </c>
      <c r="W267" s="2">
        <v>0.5</v>
      </c>
      <c r="X267">
        <v>2</v>
      </c>
      <c r="Y267" s="6">
        <v>1</v>
      </c>
      <c r="Z267">
        <v>3</v>
      </c>
      <c r="AA267">
        <v>1</v>
      </c>
      <c r="AB267">
        <v>1</v>
      </c>
      <c r="AC267" s="2">
        <v>1</v>
      </c>
      <c r="AD267" s="19"/>
      <c r="AE267" s="2">
        <v>2</v>
      </c>
      <c r="AF267" s="2">
        <v>4</v>
      </c>
      <c r="AG267" s="22"/>
      <c r="AH267" s="23"/>
      <c r="AI267" s="19"/>
      <c r="AJ267" s="36"/>
      <c r="AK267" s="2">
        <v>1</v>
      </c>
      <c r="AL267" s="3">
        <v>100</v>
      </c>
      <c r="AM267" s="26">
        <v>41.57</v>
      </c>
      <c r="AN267" s="32"/>
      <c r="AO267" s="40">
        <v>2</v>
      </c>
      <c r="AP267" s="31">
        <v>114</v>
      </c>
      <c r="AQ267" s="2">
        <v>260.7</v>
      </c>
      <c r="AR267" s="32">
        <v>1.63</v>
      </c>
      <c r="AS267" s="31">
        <v>1.69</v>
      </c>
      <c r="AT267" s="14">
        <v>1</v>
      </c>
      <c r="AU267" s="29">
        <v>20</v>
      </c>
      <c r="AV267" s="2">
        <v>1</v>
      </c>
      <c r="AW267" s="2">
        <v>1</v>
      </c>
    </row>
    <row r="268" spans="1:49" x14ac:dyDescent="0.2">
      <c r="A268" s="3">
        <v>337</v>
      </c>
      <c r="B268" t="s">
        <v>25</v>
      </c>
      <c r="C268" s="2">
        <v>54.6</v>
      </c>
      <c r="D268" s="4">
        <v>2</v>
      </c>
      <c r="E268" s="4">
        <v>2</v>
      </c>
      <c r="F268" s="5">
        <v>1</v>
      </c>
      <c r="G268" s="5">
        <v>34.299999999999997</v>
      </c>
      <c r="H268">
        <v>2</v>
      </c>
      <c r="I268" t="s">
        <v>26</v>
      </c>
      <c r="J268" s="2">
        <v>1</v>
      </c>
      <c r="K268">
        <v>3</v>
      </c>
      <c r="M268" s="2">
        <v>1.5</v>
      </c>
      <c r="N268">
        <v>2</v>
      </c>
      <c r="O268">
        <v>2</v>
      </c>
      <c r="P268">
        <v>2</v>
      </c>
      <c r="Q268">
        <v>1</v>
      </c>
      <c r="R268">
        <v>2</v>
      </c>
      <c r="S268">
        <v>1</v>
      </c>
      <c r="T268" s="3">
        <v>4</v>
      </c>
      <c r="U268" s="3">
        <v>1</v>
      </c>
      <c r="V268" s="13">
        <v>25</v>
      </c>
      <c r="W268" s="2">
        <v>0.3</v>
      </c>
      <c r="X268">
        <v>2</v>
      </c>
      <c r="Y268" s="4">
        <v>2</v>
      </c>
      <c r="Z268">
        <v>1</v>
      </c>
      <c r="AA268">
        <v>1</v>
      </c>
      <c r="AB268">
        <v>1</v>
      </c>
      <c r="AC268" s="2">
        <v>1</v>
      </c>
      <c r="AD268" s="6">
        <v>1</v>
      </c>
      <c r="AE268" s="2">
        <v>2</v>
      </c>
      <c r="AF268" s="2">
        <v>3</v>
      </c>
      <c r="AH268" s="9"/>
      <c r="AI268" s="10"/>
      <c r="AJ268" s="35"/>
      <c r="AK268" s="2">
        <v>1</v>
      </c>
      <c r="AL268" s="3">
        <v>100</v>
      </c>
      <c r="AM268" s="26">
        <v>50</v>
      </c>
      <c r="AN268" s="29">
        <v>31</v>
      </c>
      <c r="AO268" s="38">
        <v>1</v>
      </c>
      <c r="AP268" s="28">
        <v>0.9</v>
      </c>
      <c r="AQ268" s="2">
        <v>75.3</v>
      </c>
      <c r="AR268" s="29">
        <v>0.6</v>
      </c>
      <c r="AS268" s="34">
        <v>0.05</v>
      </c>
      <c r="AT268" s="13">
        <v>1</v>
      </c>
      <c r="AU268" s="29">
        <v>1.3</v>
      </c>
      <c r="AV268" s="2">
        <v>1</v>
      </c>
      <c r="AW268" s="2">
        <v>1</v>
      </c>
    </row>
    <row r="269" spans="1:49" x14ac:dyDescent="0.2">
      <c r="A269" s="3">
        <v>286</v>
      </c>
      <c r="B269" t="s">
        <v>25</v>
      </c>
      <c r="C269" s="2">
        <v>21.9</v>
      </c>
      <c r="D269" s="4">
        <v>2</v>
      </c>
      <c r="E269" s="4">
        <v>2</v>
      </c>
      <c r="F269" s="5"/>
      <c r="G269" s="5"/>
      <c r="H269">
        <v>1</v>
      </c>
      <c r="I269" t="s">
        <v>28</v>
      </c>
      <c r="J269" s="2">
        <v>1</v>
      </c>
      <c r="K269">
        <v>1</v>
      </c>
      <c r="M269" s="2">
        <v>6</v>
      </c>
      <c r="N269">
        <v>2</v>
      </c>
      <c r="O269">
        <v>2</v>
      </c>
      <c r="P269">
        <v>2</v>
      </c>
      <c r="S269">
        <v>2</v>
      </c>
      <c r="T269" s="1"/>
      <c r="U269" s="1"/>
      <c r="V269" s="13"/>
      <c r="W269" s="1"/>
      <c r="Y269" s="4"/>
      <c r="Z269">
        <v>3</v>
      </c>
      <c r="AA269">
        <v>0</v>
      </c>
      <c r="AB269">
        <v>1</v>
      </c>
      <c r="AC269" s="2">
        <v>1</v>
      </c>
      <c r="AD269" s="19"/>
      <c r="AE269" s="2">
        <v>2</v>
      </c>
      <c r="AF269" s="2">
        <v>4</v>
      </c>
      <c r="AH269" s="5"/>
      <c r="AI269" s="10"/>
      <c r="AJ269" s="35"/>
      <c r="AK269" s="2">
        <v>1</v>
      </c>
      <c r="AL269" s="3">
        <v>30</v>
      </c>
      <c r="AM269" s="26">
        <v>150</v>
      </c>
      <c r="AN269" s="29">
        <v>232</v>
      </c>
      <c r="AO269" s="38">
        <v>1</v>
      </c>
      <c r="AP269" s="34">
        <v>10</v>
      </c>
      <c r="AQ269" s="2">
        <v>116</v>
      </c>
      <c r="AR269" s="29">
        <v>0.03</v>
      </c>
      <c r="AS269" s="28">
        <v>20.5</v>
      </c>
      <c r="AT269" s="13">
        <v>1</v>
      </c>
      <c r="AU269" s="29">
        <v>20</v>
      </c>
      <c r="AV269" s="2">
        <v>4</v>
      </c>
      <c r="AW269" s="2">
        <v>4</v>
      </c>
    </row>
    <row r="270" spans="1:49" x14ac:dyDescent="0.2">
      <c r="A270" s="3">
        <v>15</v>
      </c>
      <c r="B270" t="s">
        <v>25</v>
      </c>
      <c r="C270" s="2">
        <v>38</v>
      </c>
      <c r="D270" s="4">
        <v>2</v>
      </c>
      <c r="E270" s="4">
        <v>2</v>
      </c>
      <c r="F270" s="5">
        <v>1</v>
      </c>
      <c r="G270" s="5">
        <v>32</v>
      </c>
      <c r="H270">
        <v>2</v>
      </c>
      <c r="I270" t="s">
        <v>26</v>
      </c>
      <c r="J270" s="2">
        <v>1</v>
      </c>
      <c r="K270">
        <v>4</v>
      </c>
      <c r="M270" s="2">
        <v>3.2</v>
      </c>
      <c r="N270">
        <v>1</v>
      </c>
      <c r="O270">
        <v>1</v>
      </c>
      <c r="P270">
        <v>1</v>
      </c>
      <c r="Q270">
        <v>1</v>
      </c>
      <c r="R270">
        <v>2</v>
      </c>
      <c r="S270">
        <v>1</v>
      </c>
      <c r="T270" s="3">
        <v>4</v>
      </c>
      <c r="U270" s="3">
        <v>3</v>
      </c>
      <c r="V270" s="13">
        <v>75</v>
      </c>
      <c r="W270" s="2">
        <v>0.3</v>
      </c>
      <c r="X270">
        <v>2</v>
      </c>
      <c r="Y270" s="4">
        <v>2</v>
      </c>
      <c r="Z270">
        <v>2</v>
      </c>
      <c r="AA270">
        <v>1</v>
      </c>
      <c r="AB270">
        <v>1</v>
      </c>
      <c r="AC270" s="2">
        <v>1</v>
      </c>
      <c r="AD270" s="19"/>
      <c r="AE270" s="2">
        <v>2</v>
      </c>
      <c r="AF270" s="2">
        <v>3</v>
      </c>
      <c r="AH270" s="9"/>
      <c r="AI270" s="10"/>
      <c r="AJ270" s="35"/>
      <c r="AK270" s="2">
        <v>1</v>
      </c>
      <c r="AL270" s="3">
        <v>50</v>
      </c>
      <c r="AM270" s="26">
        <v>57.74</v>
      </c>
      <c r="AN270" s="28">
        <v>1.4</v>
      </c>
      <c r="AO270" s="38">
        <v>1</v>
      </c>
      <c r="AP270" s="34">
        <v>10</v>
      </c>
      <c r="AQ270" s="2">
        <v>115.6</v>
      </c>
      <c r="AR270" s="29">
        <v>1.71</v>
      </c>
      <c r="AS270" s="34">
        <v>0.05</v>
      </c>
      <c r="AT270" s="13">
        <v>1</v>
      </c>
      <c r="AU270" s="29">
        <v>1.3</v>
      </c>
      <c r="AV270" s="2">
        <v>1</v>
      </c>
      <c r="AW270" s="2">
        <v>1</v>
      </c>
    </row>
    <row r="271" spans="1:49" x14ac:dyDescent="0.2">
      <c r="A271" s="3">
        <v>96</v>
      </c>
      <c r="B271" t="s">
        <v>27</v>
      </c>
      <c r="C271" s="2">
        <v>66.7</v>
      </c>
      <c r="D271" s="4">
        <v>2</v>
      </c>
      <c r="E271" s="4">
        <v>2</v>
      </c>
      <c r="F271" s="5">
        <v>1</v>
      </c>
      <c r="G271" s="5">
        <v>28.1</v>
      </c>
      <c r="H271">
        <v>2</v>
      </c>
      <c r="I271" t="s">
        <v>26</v>
      </c>
      <c r="J271" s="2">
        <v>1</v>
      </c>
      <c r="K271">
        <v>1</v>
      </c>
      <c r="M271" s="2">
        <v>3.4</v>
      </c>
      <c r="N271">
        <v>2</v>
      </c>
      <c r="O271">
        <v>1</v>
      </c>
      <c r="P271">
        <v>1</v>
      </c>
      <c r="Q271">
        <v>1</v>
      </c>
      <c r="R271">
        <v>2</v>
      </c>
      <c r="S271">
        <v>1</v>
      </c>
      <c r="T271" s="3">
        <v>19</v>
      </c>
      <c r="U271" s="3">
        <v>8</v>
      </c>
      <c r="V271" s="13">
        <v>42.11</v>
      </c>
      <c r="W271" s="2">
        <v>2.4</v>
      </c>
      <c r="X271">
        <v>1</v>
      </c>
      <c r="Y271" s="4">
        <v>2</v>
      </c>
      <c r="Z271">
        <v>2</v>
      </c>
      <c r="AA271">
        <v>1</v>
      </c>
      <c r="AB271">
        <v>1</v>
      </c>
      <c r="AC271" s="2">
        <v>2</v>
      </c>
      <c r="AD271" s="19"/>
      <c r="AE271" s="2">
        <v>3</v>
      </c>
      <c r="AF271" s="2">
        <v>4</v>
      </c>
      <c r="AH271" s="9"/>
      <c r="AI271" s="10"/>
      <c r="AJ271" s="35"/>
      <c r="AK271" s="2">
        <v>1</v>
      </c>
      <c r="AL271" s="3">
        <v>150</v>
      </c>
      <c r="AM271" s="26">
        <v>70</v>
      </c>
      <c r="AN271" s="29">
        <v>18</v>
      </c>
      <c r="AO271" s="38">
        <v>1</v>
      </c>
      <c r="AP271" s="33">
        <v>115</v>
      </c>
      <c r="AQ271" s="2">
        <v>57.2</v>
      </c>
      <c r="AR271" s="29">
        <v>0.1</v>
      </c>
      <c r="AS271" s="34">
        <f>0.1/2</f>
        <v>0.05</v>
      </c>
      <c r="AT271" s="13">
        <v>2</v>
      </c>
      <c r="AU271" s="29">
        <v>67</v>
      </c>
      <c r="AV271" s="2">
        <v>2</v>
      </c>
      <c r="AW271" s="2">
        <v>2</v>
      </c>
    </row>
    <row r="272" spans="1:49" x14ac:dyDescent="0.2">
      <c r="A272" s="3">
        <v>266</v>
      </c>
      <c r="B272" t="s">
        <v>25</v>
      </c>
      <c r="C272" s="2">
        <v>60.8</v>
      </c>
      <c r="D272" s="4">
        <v>2</v>
      </c>
      <c r="E272" s="4">
        <v>2</v>
      </c>
      <c r="F272" s="5">
        <v>1</v>
      </c>
      <c r="G272" s="5">
        <v>21.9</v>
      </c>
      <c r="H272">
        <v>1</v>
      </c>
      <c r="I272" t="s">
        <v>26</v>
      </c>
      <c r="J272" s="2">
        <v>1</v>
      </c>
      <c r="K272">
        <v>1</v>
      </c>
      <c r="M272" s="2">
        <v>5</v>
      </c>
      <c r="N272">
        <v>1</v>
      </c>
      <c r="O272">
        <v>1</v>
      </c>
      <c r="P272">
        <v>2</v>
      </c>
      <c r="Q272">
        <v>2</v>
      </c>
      <c r="R272">
        <v>2</v>
      </c>
      <c r="S272">
        <v>2</v>
      </c>
      <c r="T272" s="1"/>
      <c r="U272" s="1"/>
      <c r="V272" s="13"/>
      <c r="W272" s="1"/>
      <c r="Y272" s="4">
        <v>2</v>
      </c>
      <c r="Z272">
        <v>3</v>
      </c>
      <c r="AA272">
        <v>1</v>
      </c>
      <c r="AB272">
        <v>1</v>
      </c>
      <c r="AC272" s="2">
        <v>2</v>
      </c>
      <c r="AD272" s="19"/>
      <c r="AE272" s="2">
        <v>2</v>
      </c>
      <c r="AF272" s="2">
        <v>4</v>
      </c>
      <c r="AH272" s="5"/>
      <c r="AI272" s="10"/>
      <c r="AJ272" s="35"/>
      <c r="AK272" s="2">
        <v>1</v>
      </c>
      <c r="AL272" s="3">
        <v>100</v>
      </c>
      <c r="AM272" s="26">
        <v>80.7</v>
      </c>
      <c r="AN272" s="29">
        <v>3.2</v>
      </c>
      <c r="AO272" s="38">
        <v>1</v>
      </c>
      <c r="AP272" s="34">
        <v>10</v>
      </c>
      <c r="AQ272" s="2">
        <v>212.9</v>
      </c>
      <c r="AR272" s="29">
        <v>0.36</v>
      </c>
      <c r="AS272" s="34">
        <f>0.1/2</f>
        <v>0.05</v>
      </c>
      <c r="AT272" s="13">
        <v>1</v>
      </c>
      <c r="AU272" s="29">
        <v>20</v>
      </c>
      <c r="AV272" s="2">
        <v>1</v>
      </c>
      <c r="AW272" s="2">
        <v>1</v>
      </c>
    </row>
    <row r="273" spans="1:49" x14ac:dyDescent="0.2">
      <c r="A273" s="3">
        <v>259</v>
      </c>
      <c r="B273" t="s">
        <v>25</v>
      </c>
      <c r="C273" s="2">
        <v>68.400000000000006</v>
      </c>
      <c r="D273" s="4">
        <v>2</v>
      </c>
      <c r="E273" s="4">
        <v>2</v>
      </c>
      <c r="F273" s="5">
        <v>1</v>
      </c>
      <c r="G273" s="5">
        <v>28.6</v>
      </c>
      <c r="H273">
        <v>2</v>
      </c>
      <c r="I273" t="s">
        <v>26</v>
      </c>
      <c r="J273" s="2">
        <v>1</v>
      </c>
      <c r="K273">
        <v>3</v>
      </c>
      <c r="M273" s="2">
        <v>1.8</v>
      </c>
      <c r="N273">
        <v>2</v>
      </c>
      <c r="O273">
        <v>2</v>
      </c>
      <c r="P273">
        <v>2</v>
      </c>
      <c r="Q273">
        <v>1</v>
      </c>
      <c r="R273">
        <v>1</v>
      </c>
      <c r="S273">
        <v>1</v>
      </c>
      <c r="T273" s="1"/>
      <c r="U273" s="1"/>
      <c r="V273" s="16"/>
      <c r="W273" s="2">
        <v>0.4</v>
      </c>
      <c r="X273">
        <v>2</v>
      </c>
      <c r="Y273" s="4">
        <v>2</v>
      </c>
      <c r="Z273">
        <v>1</v>
      </c>
      <c r="AA273">
        <v>1</v>
      </c>
      <c r="AB273">
        <v>1</v>
      </c>
      <c r="AC273" s="2">
        <v>2</v>
      </c>
      <c r="AD273" s="19"/>
      <c r="AE273" s="2">
        <v>2</v>
      </c>
      <c r="AF273" s="2">
        <v>3</v>
      </c>
      <c r="AH273" s="5"/>
      <c r="AI273" s="10"/>
      <c r="AJ273" s="35"/>
      <c r="AK273" s="2">
        <v>1</v>
      </c>
      <c r="AL273" s="3">
        <v>100</v>
      </c>
      <c r="AM273" s="26">
        <v>88.01</v>
      </c>
      <c r="AN273" s="29">
        <v>0.9</v>
      </c>
      <c r="AO273" s="38">
        <v>1</v>
      </c>
      <c r="AP273" s="34">
        <v>10</v>
      </c>
      <c r="AQ273" s="2">
        <v>101</v>
      </c>
      <c r="AR273" s="29">
        <v>0.7</v>
      </c>
      <c r="AS273" s="34">
        <f>0.1/2</f>
        <v>0.05</v>
      </c>
      <c r="AT273" s="13">
        <v>1</v>
      </c>
      <c r="AU273" s="29">
        <v>20</v>
      </c>
      <c r="AV273" s="2">
        <v>1</v>
      </c>
      <c r="AW273" s="2">
        <v>1</v>
      </c>
    </row>
    <row r="274" spans="1:49" x14ac:dyDescent="0.2">
      <c r="A274" s="3">
        <v>202</v>
      </c>
      <c r="B274" t="s">
        <v>25</v>
      </c>
      <c r="C274" s="2">
        <v>40.4</v>
      </c>
      <c r="D274" s="4">
        <v>2</v>
      </c>
      <c r="E274" s="4">
        <v>2</v>
      </c>
      <c r="F274" s="5">
        <v>1</v>
      </c>
      <c r="G274" s="5">
        <v>26.3</v>
      </c>
      <c r="H274">
        <v>1</v>
      </c>
      <c r="I274" t="s">
        <v>26</v>
      </c>
      <c r="J274" s="2">
        <v>1</v>
      </c>
      <c r="K274">
        <v>1</v>
      </c>
      <c r="M274" s="2">
        <v>2.4</v>
      </c>
      <c r="N274">
        <v>1</v>
      </c>
      <c r="O274">
        <v>1</v>
      </c>
      <c r="P274">
        <v>1</v>
      </c>
      <c r="Q274">
        <v>2</v>
      </c>
      <c r="R274">
        <v>2</v>
      </c>
      <c r="S274">
        <v>2</v>
      </c>
      <c r="T274" s="1"/>
      <c r="U274" s="1"/>
      <c r="V274" s="13"/>
      <c r="W274" s="1"/>
      <c r="Y274" s="4">
        <v>1</v>
      </c>
      <c r="Z274">
        <v>2</v>
      </c>
      <c r="AA274">
        <v>0</v>
      </c>
      <c r="AB274">
        <v>1</v>
      </c>
      <c r="AC274" s="2">
        <v>1</v>
      </c>
      <c r="AD274" s="19"/>
      <c r="AE274" s="2">
        <v>1</v>
      </c>
      <c r="AF274" s="2">
        <v>3</v>
      </c>
      <c r="AH274" s="5"/>
      <c r="AI274" s="10"/>
      <c r="AJ274" s="35"/>
      <c r="AK274" s="2">
        <v>1</v>
      </c>
      <c r="AL274" s="3">
        <v>100</v>
      </c>
      <c r="AM274" s="26"/>
      <c r="AN274" s="29">
        <v>0.14000000000000001</v>
      </c>
      <c r="AO274" s="39"/>
      <c r="AP274" s="28"/>
      <c r="AQ274" s="2">
        <v>197.5</v>
      </c>
      <c r="AR274" s="29">
        <v>0.05</v>
      </c>
      <c r="AS274" s="28">
        <v>0.1</v>
      </c>
      <c r="AT274" s="13">
        <v>1</v>
      </c>
      <c r="AU274" s="29">
        <v>20</v>
      </c>
      <c r="AV274" s="2">
        <v>1</v>
      </c>
      <c r="AW274" s="2">
        <v>1</v>
      </c>
    </row>
    <row r="275" spans="1:49" x14ac:dyDescent="0.2">
      <c r="A275" s="3">
        <v>366</v>
      </c>
      <c r="B275" t="s">
        <v>25</v>
      </c>
      <c r="C275" s="2">
        <v>60</v>
      </c>
      <c r="D275" s="4">
        <v>2</v>
      </c>
      <c r="E275" s="4">
        <v>2</v>
      </c>
      <c r="F275" s="5">
        <v>1</v>
      </c>
      <c r="G275" s="5"/>
      <c r="H275">
        <v>1</v>
      </c>
      <c r="I275" t="s">
        <v>26</v>
      </c>
      <c r="J275" s="2">
        <v>1</v>
      </c>
      <c r="K275">
        <v>3</v>
      </c>
      <c r="M275" s="2">
        <v>1</v>
      </c>
      <c r="N275">
        <v>1</v>
      </c>
      <c r="O275">
        <v>2</v>
      </c>
      <c r="P275">
        <v>2</v>
      </c>
      <c r="Q275">
        <v>2</v>
      </c>
      <c r="R275">
        <v>2</v>
      </c>
      <c r="S275">
        <v>2</v>
      </c>
      <c r="T275" s="1"/>
      <c r="U275" s="1"/>
      <c r="V275" s="13"/>
      <c r="W275" s="1"/>
      <c r="Y275" s="4">
        <v>2</v>
      </c>
      <c r="Z275">
        <v>1</v>
      </c>
      <c r="AA275">
        <v>3</v>
      </c>
      <c r="AB275">
        <v>2</v>
      </c>
      <c r="AC275" s="2">
        <v>4</v>
      </c>
      <c r="AD275" s="19"/>
      <c r="AE275" s="2">
        <v>3</v>
      </c>
      <c r="AF275" s="2">
        <v>4</v>
      </c>
      <c r="AH275" s="5"/>
      <c r="AI275" s="10"/>
      <c r="AJ275" s="35"/>
      <c r="AK275" s="2">
        <v>1</v>
      </c>
      <c r="AL275" s="3">
        <v>150</v>
      </c>
      <c r="AM275" s="26"/>
      <c r="AN275" s="29">
        <v>0.44</v>
      </c>
      <c r="AO275" s="38">
        <v>1</v>
      </c>
      <c r="AP275" s="28"/>
      <c r="AQ275" s="2">
        <v>33</v>
      </c>
      <c r="AR275" s="29">
        <v>4.63</v>
      </c>
      <c r="AS275" s="34">
        <v>0.05</v>
      </c>
      <c r="AT275" s="13">
        <v>1</v>
      </c>
      <c r="AU275" s="29">
        <v>20</v>
      </c>
      <c r="AV275" s="2">
        <v>4</v>
      </c>
      <c r="AW275" s="2">
        <v>4</v>
      </c>
    </row>
    <row r="276" spans="1:49" x14ac:dyDescent="0.2">
      <c r="A276" s="3">
        <v>488</v>
      </c>
      <c r="B276" t="s">
        <v>25</v>
      </c>
      <c r="C276" s="2">
        <v>43.8</v>
      </c>
      <c r="D276" s="4">
        <v>2</v>
      </c>
      <c r="E276" s="4">
        <v>2</v>
      </c>
      <c r="F276" s="5">
        <v>1</v>
      </c>
      <c r="G276" s="5"/>
      <c r="H276">
        <v>1</v>
      </c>
      <c r="I276" t="s">
        <v>28</v>
      </c>
      <c r="J276" s="2">
        <v>1</v>
      </c>
      <c r="K276">
        <v>1</v>
      </c>
      <c r="M276" s="2">
        <v>1.5</v>
      </c>
      <c r="N276">
        <v>1</v>
      </c>
      <c r="O276">
        <v>2</v>
      </c>
      <c r="P276">
        <v>2</v>
      </c>
      <c r="T276" s="1"/>
      <c r="U276" s="1"/>
      <c r="V276" s="13"/>
      <c r="W276" s="1"/>
      <c r="Y276" s="4">
        <v>1</v>
      </c>
      <c r="Z276">
        <v>1</v>
      </c>
      <c r="AA276">
        <v>3</v>
      </c>
      <c r="AB276">
        <v>1</v>
      </c>
      <c r="AC276" s="2">
        <v>1</v>
      </c>
      <c r="AD276" s="19"/>
      <c r="AE276" s="2">
        <v>1</v>
      </c>
      <c r="AF276" s="2">
        <v>1</v>
      </c>
      <c r="AH276" s="5"/>
      <c r="AI276" s="10"/>
      <c r="AJ276" s="35"/>
      <c r="AK276" s="2">
        <v>1</v>
      </c>
      <c r="AL276" s="3">
        <v>30</v>
      </c>
      <c r="AM276" s="26"/>
      <c r="AN276" s="29">
        <v>1.7</v>
      </c>
      <c r="AO276" s="38">
        <v>2</v>
      </c>
      <c r="AP276" s="28">
        <v>60</v>
      </c>
      <c r="AQ276" s="2">
        <v>26</v>
      </c>
      <c r="AR276" s="29">
        <v>0.44</v>
      </c>
      <c r="AS276" s="34">
        <v>0.1</v>
      </c>
      <c r="AT276" s="13">
        <v>1</v>
      </c>
      <c r="AU276" s="29">
        <v>20</v>
      </c>
      <c r="AV276" s="2">
        <v>1</v>
      </c>
      <c r="AW276" s="2">
        <v>1</v>
      </c>
    </row>
    <row r="277" spans="1:49" x14ac:dyDescent="0.2">
      <c r="A277" s="3">
        <v>329</v>
      </c>
      <c r="B277" t="s">
        <v>25</v>
      </c>
      <c r="C277" s="2">
        <v>65.900000000000006</v>
      </c>
      <c r="D277" s="6">
        <v>2</v>
      </c>
      <c r="E277" s="6">
        <v>2</v>
      </c>
      <c r="F277" s="7">
        <v>1</v>
      </c>
      <c r="G277" s="7">
        <v>39.1</v>
      </c>
      <c r="H277">
        <v>1</v>
      </c>
      <c r="I277" t="s">
        <v>26</v>
      </c>
      <c r="J277" s="2">
        <v>1</v>
      </c>
      <c r="K277">
        <v>3</v>
      </c>
      <c r="M277" s="2">
        <v>4</v>
      </c>
      <c r="N277">
        <v>1</v>
      </c>
      <c r="O277">
        <v>2</v>
      </c>
      <c r="P277">
        <v>2</v>
      </c>
      <c r="S277">
        <v>2</v>
      </c>
      <c r="T277" s="1"/>
      <c r="U277" s="1"/>
      <c r="V277" s="14"/>
      <c r="W277" s="1"/>
      <c r="Y277" s="6">
        <v>1</v>
      </c>
      <c r="Z277">
        <v>2</v>
      </c>
      <c r="AA277">
        <v>0</v>
      </c>
      <c r="AB277">
        <v>1</v>
      </c>
      <c r="AC277" s="2">
        <v>2</v>
      </c>
      <c r="AD277" s="19"/>
      <c r="AE277" s="2">
        <v>1</v>
      </c>
      <c r="AF277" s="2">
        <v>1</v>
      </c>
      <c r="AG277" s="22"/>
      <c r="AH277" s="7"/>
      <c r="AI277" s="19"/>
      <c r="AJ277" s="36"/>
      <c r="AK277" s="2">
        <v>1</v>
      </c>
      <c r="AL277" s="3">
        <v>100</v>
      </c>
      <c r="AM277" s="26"/>
      <c r="AN277" s="32">
        <v>2.1</v>
      </c>
      <c r="AO277" s="41"/>
      <c r="AP277" s="31"/>
      <c r="AQ277" s="2">
        <v>260.5</v>
      </c>
      <c r="AR277" s="32">
        <v>9.66</v>
      </c>
      <c r="AS277" s="31">
        <v>0.05</v>
      </c>
      <c r="AT277" s="14">
        <v>2</v>
      </c>
      <c r="AU277" s="32">
        <v>5.2</v>
      </c>
      <c r="AV277" s="2">
        <v>2</v>
      </c>
      <c r="AW277" s="2">
        <v>2</v>
      </c>
    </row>
    <row r="278" spans="1:49" x14ac:dyDescent="0.2">
      <c r="A278" s="3">
        <v>223</v>
      </c>
      <c r="B278" t="s">
        <v>25</v>
      </c>
      <c r="C278" s="2">
        <v>54.6</v>
      </c>
      <c r="D278" s="4">
        <v>2</v>
      </c>
      <c r="E278" s="4">
        <v>2</v>
      </c>
      <c r="F278" s="5">
        <v>1</v>
      </c>
      <c r="G278" s="5">
        <v>23</v>
      </c>
      <c r="H278">
        <v>1</v>
      </c>
      <c r="I278" t="s">
        <v>26</v>
      </c>
      <c r="J278" s="2">
        <v>1</v>
      </c>
      <c r="K278">
        <v>4</v>
      </c>
      <c r="M278" s="2">
        <v>1.4</v>
      </c>
      <c r="N278">
        <v>1</v>
      </c>
      <c r="O278">
        <v>2</v>
      </c>
      <c r="P278">
        <v>2</v>
      </c>
      <c r="S278">
        <v>2</v>
      </c>
      <c r="T278" s="1"/>
      <c r="U278" s="1"/>
      <c r="V278" s="13"/>
      <c r="W278" s="1"/>
      <c r="Y278" s="4">
        <v>2</v>
      </c>
      <c r="Z278">
        <v>1</v>
      </c>
      <c r="AA278">
        <v>0</v>
      </c>
      <c r="AB278">
        <v>1</v>
      </c>
      <c r="AC278" s="2">
        <v>1</v>
      </c>
      <c r="AD278" s="19"/>
      <c r="AE278" s="2">
        <v>1</v>
      </c>
      <c r="AF278" s="2">
        <v>1</v>
      </c>
      <c r="AH278" s="9"/>
      <c r="AI278" s="10"/>
      <c r="AJ278" s="35"/>
      <c r="AK278" s="2">
        <v>1</v>
      </c>
      <c r="AL278" s="3">
        <v>30</v>
      </c>
      <c r="AM278" s="26"/>
      <c r="AN278" s="29">
        <v>2.2999999999999998</v>
      </c>
      <c r="AO278" s="39"/>
      <c r="AP278" s="28"/>
      <c r="AQ278" s="2">
        <v>210.6</v>
      </c>
      <c r="AR278" s="29">
        <v>5.57</v>
      </c>
      <c r="AS278" s="34">
        <f>0.1/2</f>
        <v>0.05</v>
      </c>
      <c r="AT278" s="13">
        <v>1</v>
      </c>
      <c r="AU278" s="29">
        <v>20</v>
      </c>
      <c r="AV278" s="2">
        <v>1</v>
      </c>
      <c r="AW278" s="2">
        <v>1</v>
      </c>
    </row>
    <row r="279" spans="1:49" x14ac:dyDescent="0.2">
      <c r="A279" s="3">
        <v>167</v>
      </c>
      <c r="B279" t="s">
        <v>27</v>
      </c>
      <c r="C279" s="2">
        <v>40</v>
      </c>
      <c r="D279" s="4">
        <v>2</v>
      </c>
      <c r="E279" s="4">
        <v>2</v>
      </c>
      <c r="F279" s="5">
        <v>1</v>
      </c>
      <c r="G279" s="5">
        <v>33.799999999999997</v>
      </c>
      <c r="H279">
        <v>2</v>
      </c>
      <c r="I279" t="s">
        <v>26</v>
      </c>
      <c r="J279" s="2">
        <v>1</v>
      </c>
      <c r="K279">
        <v>1</v>
      </c>
      <c r="M279" s="2">
        <v>0.3</v>
      </c>
      <c r="N279">
        <v>1</v>
      </c>
      <c r="O279">
        <v>2</v>
      </c>
      <c r="P279">
        <v>2</v>
      </c>
      <c r="Q279">
        <v>2</v>
      </c>
      <c r="R279">
        <v>2</v>
      </c>
      <c r="S279">
        <v>1</v>
      </c>
      <c r="T279" s="3">
        <v>5</v>
      </c>
      <c r="U279" s="3">
        <v>4</v>
      </c>
      <c r="V279" s="13">
        <v>80</v>
      </c>
      <c r="W279" s="2">
        <v>4.3</v>
      </c>
      <c r="X279">
        <v>2</v>
      </c>
      <c r="Y279" s="4">
        <v>2</v>
      </c>
      <c r="Z279">
        <v>1</v>
      </c>
      <c r="AA279">
        <v>1</v>
      </c>
      <c r="AB279">
        <v>1</v>
      </c>
      <c r="AC279" s="2">
        <v>1</v>
      </c>
      <c r="AD279" s="19"/>
      <c r="AE279" s="2">
        <v>3</v>
      </c>
      <c r="AF279" s="2">
        <v>4</v>
      </c>
      <c r="AH279" s="9"/>
      <c r="AI279" s="10"/>
      <c r="AJ279" s="35"/>
      <c r="AK279" s="2">
        <v>1</v>
      </c>
      <c r="AL279" s="3">
        <v>150</v>
      </c>
      <c r="AM279" s="26">
        <v>100</v>
      </c>
      <c r="AN279" s="29">
        <v>11.5</v>
      </c>
      <c r="AO279" s="38">
        <v>1</v>
      </c>
      <c r="AP279" s="34">
        <v>10</v>
      </c>
      <c r="AQ279" s="2">
        <v>119.7</v>
      </c>
      <c r="AR279" s="29">
        <v>0.02</v>
      </c>
      <c r="AS279" s="28">
        <v>0.4</v>
      </c>
      <c r="AT279" s="13">
        <v>1</v>
      </c>
      <c r="AU279" s="29">
        <v>20</v>
      </c>
      <c r="AV279" s="2">
        <v>1</v>
      </c>
      <c r="AW279" s="2">
        <v>1</v>
      </c>
    </row>
    <row r="280" spans="1:49" x14ac:dyDescent="0.2">
      <c r="A280" s="3">
        <v>310</v>
      </c>
      <c r="B280" t="s">
        <v>25</v>
      </c>
      <c r="C280" s="2">
        <v>46.1</v>
      </c>
      <c r="D280" s="4">
        <v>2</v>
      </c>
      <c r="E280" s="4">
        <v>2</v>
      </c>
      <c r="F280" s="5">
        <v>1</v>
      </c>
      <c r="G280" s="5">
        <v>24.7</v>
      </c>
      <c r="H280">
        <v>1</v>
      </c>
      <c r="I280" t="s">
        <v>26</v>
      </c>
      <c r="J280" s="2">
        <v>1</v>
      </c>
      <c r="K280">
        <v>3</v>
      </c>
      <c r="M280" s="2">
        <v>3.8</v>
      </c>
      <c r="N280">
        <v>1</v>
      </c>
      <c r="O280">
        <v>1</v>
      </c>
      <c r="P280">
        <v>1</v>
      </c>
      <c r="Q280">
        <v>2</v>
      </c>
      <c r="R280">
        <v>2</v>
      </c>
      <c r="T280" s="1"/>
      <c r="U280" s="1"/>
      <c r="V280" s="13"/>
      <c r="W280" s="1"/>
      <c r="Y280" s="4">
        <v>2</v>
      </c>
      <c r="Z280">
        <v>2</v>
      </c>
      <c r="AA280">
        <v>3</v>
      </c>
      <c r="AB280">
        <v>1</v>
      </c>
      <c r="AC280" s="2">
        <v>1</v>
      </c>
      <c r="AD280" s="19"/>
      <c r="AE280" s="2">
        <v>1</v>
      </c>
      <c r="AF280" s="2">
        <v>3</v>
      </c>
      <c r="AH280" s="5"/>
      <c r="AI280" s="10"/>
      <c r="AJ280" s="35"/>
      <c r="AK280" s="2">
        <v>1</v>
      </c>
      <c r="AL280" s="3">
        <v>100</v>
      </c>
      <c r="AM280" s="26"/>
      <c r="AN280" s="29">
        <v>7.6</v>
      </c>
      <c r="AO280" s="39"/>
      <c r="AP280" s="28"/>
      <c r="AQ280" s="2">
        <v>135.19999999999999</v>
      </c>
      <c r="AR280" s="29">
        <v>0.3</v>
      </c>
      <c r="AS280" s="34">
        <v>0.05</v>
      </c>
      <c r="AT280" s="13">
        <v>1</v>
      </c>
      <c r="AU280" s="29">
        <v>1.3</v>
      </c>
      <c r="AV280" s="2">
        <v>1</v>
      </c>
      <c r="AW280" s="2">
        <v>1</v>
      </c>
    </row>
    <row r="281" spans="1:49" x14ac:dyDescent="0.2">
      <c r="A281" s="3">
        <v>222</v>
      </c>
      <c r="B281" t="s">
        <v>25</v>
      </c>
      <c r="C281" s="2">
        <v>54.9</v>
      </c>
      <c r="D281" s="6">
        <v>2</v>
      </c>
      <c r="E281" s="6">
        <v>2</v>
      </c>
      <c r="F281" s="7"/>
      <c r="G281" s="7">
        <v>26.7</v>
      </c>
      <c r="H281">
        <v>1</v>
      </c>
      <c r="I281" t="s">
        <v>26</v>
      </c>
      <c r="J281" s="2">
        <v>1</v>
      </c>
      <c r="K281">
        <v>3</v>
      </c>
      <c r="M281" s="2">
        <v>8</v>
      </c>
      <c r="N281">
        <v>1</v>
      </c>
      <c r="O281">
        <v>2</v>
      </c>
      <c r="P281">
        <v>2</v>
      </c>
      <c r="T281" s="1"/>
      <c r="U281" s="1"/>
      <c r="V281" s="14"/>
      <c r="W281" s="1"/>
      <c r="Y281" s="6"/>
      <c r="Z281">
        <v>3</v>
      </c>
      <c r="AA281">
        <v>3</v>
      </c>
      <c r="AB281">
        <v>1</v>
      </c>
      <c r="AC281" s="2">
        <v>1</v>
      </c>
      <c r="AD281" s="19"/>
      <c r="AE281" s="2">
        <v>1</v>
      </c>
      <c r="AF281" s="2">
        <v>2</v>
      </c>
      <c r="AG281" s="22"/>
      <c r="AH281" s="7"/>
      <c r="AI281" s="19"/>
      <c r="AJ281" s="36"/>
      <c r="AK281" s="2">
        <v>1</v>
      </c>
      <c r="AL281" s="3">
        <v>100</v>
      </c>
      <c r="AM281" s="26"/>
      <c r="AN281" s="32">
        <v>10.199999999999999</v>
      </c>
      <c r="AO281" s="41"/>
      <c r="AP281" s="31"/>
      <c r="AQ281" s="2">
        <v>317.7</v>
      </c>
      <c r="AR281" s="32">
        <v>3.81</v>
      </c>
      <c r="AS281" s="31">
        <f>0.1/2</f>
        <v>0.05</v>
      </c>
      <c r="AT281" s="14">
        <v>1</v>
      </c>
      <c r="AU281" s="29">
        <v>1.3</v>
      </c>
      <c r="AV281" s="2">
        <v>1</v>
      </c>
      <c r="AW281" s="2">
        <v>1</v>
      </c>
    </row>
    <row r="282" spans="1:49" x14ac:dyDescent="0.2">
      <c r="A282" s="3">
        <v>229</v>
      </c>
      <c r="B282" t="s">
        <v>25</v>
      </c>
      <c r="C282" s="2">
        <v>31.1</v>
      </c>
      <c r="D282" s="4">
        <v>2</v>
      </c>
      <c r="E282" s="4">
        <v>2</v>
      </c>
      <c r="F282" s="5"/>
      <c r="G282" s="5">
        <v>27.8</v>
      </c>
      <c r="H282">
        <v>1</v>
      </c>
      <c r="I282" t="s">
        <v>26</v>
      </c>
      <c r="J282" s="2">
        <v>1</v>
      </c>
      <c r="K282">
        <v>1</v>
      </c>
      <c r="M282" s="2">
        <v>4.5</v>
      </c>
      <c r="O282">
        <v>2</v>
      </c>
      <c r="P282">
        <v>2</v>
      </c>
      <c r="T282" s="1"/>
      <c r="U282" s="1"/>
      <c r="V282" s="13"/>
      <c r="W282" s="1"/>
      <c r="Y282" s="4"/>
      <c r="Z282">
        <v>3</v>
      </c>
      <c r="AA282">
        <v>3</v>
      </c>
      <c r="AB282">
        <v>1</v>
      </c>
      <c r="AC282" s="2">
        <v>1</v>
      </c>
      <c r="AD282" s="19"/>
      <c r="AE282" s="2">
        <v>2</v>
      </c>
      <c r="AF282" s="2">
        <v>2</v>
      </c>
      <c r="AH282" s="5"/>
      <c r="AI282" s="10"/>
      <c r="AJ282" s="35"/>
      <c r="AK282" s="2">
        <v>1</v>
      </c>
      <c r="AL282" s="3">
        <v>30</v>
      </c>
      <c r="AM282" s="26"/>
      <c r="AN282" s="29">
        <v>23</v>
      </c>
      <c r="AO282" s="39"/>
      <c r="AP282" s="29"/>
      <c r="AQ282" s="2">
        <v>351</v>
      </c>
      <c r="AR282" s="29">
        <v>7.72</v>
      </c>
      <c r="AS282" s="28">
        <v>0.1</v>
      </c>
      <c r="AT282" s="13">
        <v>1</v>
      </c>
      <c r="AU282" s="29">
        <v>1.3</v>
      </c>
      <c r="AV282" s="2">
        <v>1</v>
      </c>
      <c r="AW282" s="2">
        <v>1</v>
      </c>
    </row>
    <row r="283" spans="1:49" x14ac:dyDescent="0.2">
      <c r="A283" s="3">
        <v>235</v>
      </c>
      <c r="B283" t="s">
        <v>25</v>
      </c>
      <c r="C283" s="2">
        <v>45.9</v>
      </c>
      <c r="D283" s="4">
        <v>2</v>
      </c>
      <c r="E283" s="4">
        <v>2</v>
      </c>
      <c r="F283" s="5">
        <v>1</v>
      </c>
      <c r="G283" s="5">
        <v>30.5</v>
      </c>
      <c r="H283">
        <v>1</v>
      </c>
      <c r="I283" t="s">
        <v>26</v>
      </c>
      <c r="J283" s="2">
        <v>1</v>
      </c>
      <c r="K283">
        <v>1</v>
      </c>
      <c r="M283" s="2">
        <v>2.2999999999999998</v>
      </c>
      <c r="N283">
        <v>2</v>
      </c>
      <c r="O283">
        <v>1</v>
      </c>
      <c r="P283">
        <v>2</v>
      </c>
      <c r="T283" s="1"/>
      <c r="U283" s="1"/>
      <c r="V283" s="13"/>
      <c r="W283" s="1"/>
      <c r="Y283" s="4"/>
      <c r="Z283">
        <v>2</v>
      </c>
      <c r="AA283">
        <v>3</v>
      </c>
      <c r="AB283">
        <v>1</v>
      </c>
      <c r="AC283" s="2">
        <v>1</v>
      </c>
      <c r="AD283" s="19"/>
      <c r="AE283" s="2">
        <v>2</v>
      </c>
      <c r="AF283" s="2">
        <v>3</v>
      </c>
      <c r="AH283" s="5"/>
      <c r="AI283" s="10"/>
      <c r="AJ283" s="35"/>
      <c r="AK283" s="2">
        <v>1</v>
      </c>
      <c r="AL283" s="3">
        <v>100</v>
      </c>
      <c r="AM283" s="26"/>
      <c r="AN283" s="29">
        <v>37</v>
      </c>
      <c r="AO283" s="38">
        <v>1</v>
      </c>
      <c r="AP283" s="34">
        <v>10</v>
      </c>
      <c r="AQ283" s="2">
        <v>196.1</v>
      </c>
      <c r="AR283" s="29">
        <v>0.17</v>
      </c>
      <c r="AS283" s="28">
        <v>2.78</v>
      </c>
      <c r="AT283" s="13">
        <v>1</v>
      </c>
      <c r="AU283" s="29">
        <v>20</v>
      </c>
      <c r="AV283" s="2">
        <v>2</v>
      </c>
      <c r="AW283" s="2">
        <v>2</v>
      </c>
    </row>
    <row r="284" spans="1:49" x14ac:dyDescent="0.2">
      <c r="A284" s="3">
        <v>232</v>
      </c>
      <c r="B284" t="s">
        <v>25</v>
      </c>
      <c r="C284" s="2">
        <v>51.7</v>
      </c>
      <c r="D284" s="4">
        <v>2</v>
      </c>
      <c r="E284" s="4">
        <v>2</v>
      </c>
      <c r="F284" s="5"/>
      <c r="G284" s="5">
        <v>22.7</v>
      </c>
      <c r="H284">
        <v>1</v>
      </c>
      <c r="I284" t="s">
        <v>26</v>
      </c>
      <c r="J284" s="2">
        <v>1</v>
      </c>
      <c r="K284">
        <v>1</v>
      </c>
      <c r="M284" s="2">
        <v>2.5</v>
      </c>
      <c r="N284">
        <v>2</v>
      </c>
      <c r="O284">
        <v>1</v>
      </c>
      <c r="P284">
        <v>1</v>
      </c>
      <c r="Q284">
        <v>2</v>
      </c>
      <c r="R284">
        <v>2</v>
      </c>
      <c r="S284">
        <v>2</v>
      </c>
      <c r="T284" s="1"/>
      <c r="U284" s="1"/>
      <c r="V284" s="15"/>
      <c r="W284" s="1"/>
      <c r="Y284" s="4">
        <v>1</v>
      </c>
      <c r="Z284">
        <v>2</v>
      </c>
      <c r="AA284">
        <v>0</v>
      </c>
      <c r="AB284">
        <v>1</v>
      </c>
      <c r="AC284" s="2">
        <v>1</v>
      </c>
      <c r="AD284" s="19"/>
      <c r="AE284" s="2">
        <v>2</v>
      </c>
      <c r="AF284" s="2">
        <v>3</v>
      </c>
      <c r="AH284" s="5"/>
      <c r="AI284" s="10"/>
      <c r="AJ284" s="35"/>
      <c r="AK284" s="2">
        <v>1</v>
      </c>
      <c r="AL284" s="3">
        <v>100</v>
      </c>
      <c r="AM284" s="26"/>
      <c r="AN284" s="29"/>
      <c r="AO284" s="38">
        <v>2</v>
      </c>
      <c r="AP284" s="28">
        <v>53</v>
      </c>
      <c r="AQ284" s="2">
        <v>47.1</v>
      </c>
      <c r="AR284" s="29">
        <v>53</v>
      </c>
      <c r="AS284" s="34">
        <f>0.1/2</f>
        <v>0.05</v>
      </c>
      <c r="AT284" s="13">
        <v>1</v>
      </c>
      <c r="AU284" s="29">
        <v>20</v>
      </c>
      <c r="AV284" s="2">
        <v>1</v>
      </c>
      <c r="AW284" s="2">
        <v>1</v>
      </c>
    </row>
    <row r="285" spans="1:49" x14ac:dyDescent="0.2">
      <c r="A285" s="3">
        <v>475</v>
      </c>
      <c r="B285" t="s">
        <v>25</v>
      </c>
      <c r="C285" s="2">
        <v>50.7</v>
      </c>
      <c r="D285" s="6">
        <v>2</v>
      </c>
      <c r="E285" s="6">
        <v>2</v>
      </c>
      <c r="F285" s="7">
        <v>1</v>
      </c>
      <c r="G285" s="7">
        <v>35.200000000000003</v>
      </c>
      <c r="H285">
        <v>1</v>
      </c>
      <c r="I285" t="s">
        <v>28</v>
      </c>
      <c r="J285" s="2">
        <v>1</v>
      </c>
      <c r="K285">
        <v>3</v>
      </c>
      <c r="M285" s="2">
        <v>3.5</v>
      </c>
      <c r="N285">
        <v>1</v>
      </c>
      <c r="O285">
        <v>2</v>
      </c>
      <c r="P285">
        <v>2</v>
      </c>
      <c r="Q285">
        <v>2</v>
      </c>
      <c r="R285">
        <v>2</v>
      </c>
      <c r="S285">
        <v>2</v>
      </c>
      <c r="T285" s="1"/>
      <c r="U285" s="1"/>
      <c r="V285" s="14"/>
      <c r="W285" s="1"/>
      <c r="Y285" s="6">
        <v>2</v>
      </c>
      <c r="Z285">
        <v>2</v>
      </c>
      <c r="AA285">
        <v>0</v>
      </c>
      <c r="AB285">
        <v>1</v>
      </c>
      <c r="AC285" s="2">
        <v>1</v>
      </c>
      <c r="AD285" s="19"/>
      <c r="AE285" s="2">
        <v>1</v>
      </c>
      <c r="AF285" s="2">
        <v>1</v>
      </c>
      <c r="AG285" s="7"/>
      <c r="AH285" s="7"/>
      <c r="AI285" s="19"/>
      <c r="AJ285" s="7"/>
      <c r="AK285" s="2">
        <v>1</v>
      </c>
      <c r="AL285" s="3">
        <v>30</v>
      </c>
      <c r="AM285" s="26"/>
      <c r="AN285" s="32"/>
      <c r="AO285" s="41"/>
      <c r="AP285" s="31">
        <v>87</v>
      </c>
      <c r="AQ285" s="2">
        <v>233</v>
      </c>
      <c r="AR285" s="32">
        <v>1.3</v>
      </c>
      <c r="AS285" s="32">
        <v>0.1</v>
      </c>
      <c r="AT285" s="14">
        <v>1</v>
      </c>
      <c r="AU285" s="29">
        <v>20</v>
      </c>
      <c r="AV285" s="2">
        <v>1</v>
      </c>
      <c r="AW285" s="2">
        <v>1</v>
      </c>
    </row>
    <row r="286" spans="1:49" x14ac:dyDescent="0.2">
      <c r="A286" s="3">
        <v>216</v>
      </c>
      <c r="B286" t="s">
        <v>25</v>
      </c>
      <c r="C286" s="2">
        <v>48.3</v>
      </c>
      <c r="D286" s="6">
        <v>2</v>
      </c>
      <c r="E286" s="6">
        <v>2</v>
      </c>
      <c r="F286" s="7">
        <v>1</v>
      </c>
      <c r="G286" s="7">
        <v>33.200000000000003</v>
      </c>
      <c r="H286">
        <v>1</v>
      </c>
      <c r="I286" t="s">
        <v>26</v>
      </c>
      <c r="J286" s="2">
        <v>1</v>
      </c>
      <c r="K286">
        <v>1</v>
      </c>
      <c r="M286" s="2">
        <v>0.6</v>
      </c>
      <c r="N286">
        <v>1</v>
      </c>
      <c r="O286">
        <v>2</v>
      </c>
      <c r="P286">
        <v>2</v>
      </c>
      <c r="Q286">
        <v>2</v>
      </c>
      <c r="R286">
        <v>2</v>
      </c>
      <c r="S286">
        <v>2</v>
      </c>
      <c r="T286" s="1"/>
      <c r="U286" s="1"/>
      <c r="V286" s="14"/>
      <c r="W286" s="1"/>
      <c r="Y286" s="6">
        <v>2</v>
      </c>
      <c r="Z286">
        <v>1</v>
      </c>
      <c r="AA286">
        <v>0</v>
      </c>
      <c r="AB286">
        <v>1</v>
      </c>
      <c r="AC286" s="2">
        <v>1</v>
      </c>
      <c r="AD286" s="19"/>
      <c r="AE286" s="2">
        <v>1</v>
      </c>
      <c r="AF286" s="2">
        <v>1</v>
      </c>
      <c r="AG286" s="22"/>
      <c r="AH286" s="7"/>
      <c r="AI286" s="19"/>
      <c r="AJ286" s="36"/>
      <c r="AK286" s="2">
        <v>1</v>
      </c>
      <c r="AL286" s="3">
        <v>30</v>
      </c>
      <c r="AM286" s="26"/>
      <c r="AN286" s="32"/>
      <c r="AO286" s="41"/>
      <c r="AP286" s="31"/>
      <c r="AQ286" s="2">
        <v>252.6</v>
      </c>
      <c r="AR286" s="32">
        <v>1.48</v>
      </c>
      <c r="AS286" s="31">
        <v>0.1</v>
      </c>
      <c r="AT286" s="14">
        <v>1</v>
      </c>
      <c r="AU286" s="32">
        <v>1.3</v>
      </c>
      <c r="AV286" s="2">
        <v>1</v>
      </c>
      <c r="AW286" s="2">
        <v>1</v>
      </c>
    </row>
    <row r="287" spans="1:49" x14ac:dyDescent="0.2">
      <c r="A287" s="3">
        <v>252</v>
      </c>
      <c r="B287" t="s">
        <v>25</v>
      </c>
      <c r="C287" s="2">
        <v>37.700000000000003</v>
      </c>
      <c r="D287" s="4">
        <v>2</v>
      </c>
      <c r="E287" s="4">
        <v>2</v>
      </c>
      <c r="F287" s="5">
        <v>1</v>
      </c>
      <c r="G287" s="5">
        <v>21.4</v>
      </c>
      <c r="H287">
        <v>1</v>
      </c>
      <c r="I287" t="s">
        <v>26</v>
      </c>
      <c r="J287" s="2">
        <v>1</v>
      </c>
      <c r="K287">
        <v>4</v>
      </c>
      <c r="M287" s="2">
        <v>0.9</v>
      </c>
      <c r="N287">
        <v>1</v>
      </c>
      <c r="O287">
        <v>2</v>
      </c>
      <c r="P287">
        <v>2</v>
      </c>
      <c r="Q287">
        <v>2</v>
      </c>
      <c r="R287">
        <v>2</v>
      </c>
      <c r="S287">
        <v>2</v>
      </c>
      <c r="T287" s="1"/>
      <c r="U287" s="1"/>
      <c r="V287" s="13"/>
      <c r="W287" s="1"/>
      <c r="Y287" s="4"/>
      <c r="Z287">
        <v>1</v>
      </c>
      <c r="AA287">
        <v>0</v>
      </c>
      <c r="AB287">
        <v>1</v>
      </c>
      <c r="AC287" s="2">
        <v>1</v>
      </c>
      <c r="AD287" s="19"/>
      <c r="AE287" s="2">
        <v>1</v>
      </c>
      <c r="AF287" s="2">
        <v>1</v>
      </c>
      <c r="AH287" s="5"/>
      <c r="AI287" s="10"/>
      <c r="AJ287" s="35"/>
      <c r="AK287" s="2">
        <v>1</v>
      </c>
      <c r="AL287" s="3">
        <v>100</v>
      </c>
      <c r="AM287" s="26"/>
      <c r="AN287" s="29"/>
      <c r="AO287" s="39"/>
      <c r="AP287" s="28"/>
      <c r="AQ287" s="2">
        <v>172.6</v>
      </c>
      <c r="AR287" s="29">
        <v>1.75</v>
      </c>
      <c r="AS287" s="28">
        <v>0.1</v>
      </c>
      <c r="AT287" s="13">
        <v>1</v>
      </c>
      <c r="AU287" s="29">
        <v>1.66</v>
      </c>
      <c r="AV287" s="2">
        <v>1</v>
      </c>
      <c r="AW287" s="2">
        <v>1</v>
      </c>
    </row>
    <row r="288" spans="1:49" x14ac:dyDescent="0.2">
      <c r="A288" s="3">
        <v>325</v>
      </c>
      <c r="B288" t="s">
        <v>25</v>
      </c>
      <c r="C288" s="2">
        <v>39.6</v>
      </c>
      <c r="D288" s="6">
        <v>2</v>
      </c>
      <c r="E288" s="6">
        <v>2</v>
      </c>
      <c r="F288" s="7">
        <v>1</v>
      </c>
      <c r="G288" s="7">
        <v>42.5</v>
      </c>
      <c r="H288">
        <v>1</v>
      </c>
      <c r="I288" t="s">
        <v>26</v>
      </c>
      <c r="J288" s="2">
        <v>1</v>
      </c>
      <c r="K288">
        <v>1</v>
      </c>
      <c r="M288" s="2">
        <v>5</v>
      </c>
      <c r="N288">
        <v>1</v>
      </c>
      <c r="O288">
        <v>2</v>
      </c>
      <c r="P288">
        <v>2</v>
      </c>
      <c r="Q288">
        <v>2</v>
      </c>
      <c r="R288">
        <v>2</v>
      </c>
      <c r="S288">
        <v>2</v>
      </c>
      <c r="T288" s="1"/>
      <c r="U288" s="1"/>
      <c r="V288" s="14"/>
      <c r="W288" s="1"/>
      <c r="Y288" s="6">
        <v>2</v>
      </c>
      <c r="Z288">
        <v>3</v>
      </c>
      <c r="AA288">
        <v>0</v>
      </c>
      <c r="AB288">
        <v>1</v>
      </c>
      <c r="AC288" s="2">
        <v>1</v>
      </c>
      <c r="AD288" s="19"/>
      <c r="AE288" s="2">
        <v>2</v>
      </c>
      <c r="AF288" s="2">
        <v>2</v>
      </c>
      <c r="AG288" s="22"/>
      <c r="AH288" s="7"/>
      <c r="AI288" s="19"/>
      <c r="AJ288" s="36"/>
      <c r="AK288" s="2">
        <v>1</v>
      </c>
      <c r="AL288" s="3">
        <v>100</v>
      </c>
      <c r="AM288" s="26"/>
      <c r="AN288" s="32"/>
      <c r="AO288" s="41"/>
      <c r="AP288" s="32"/>
      <c r="AQ288" s="2">
        <v>246.7</v>
      </c>
      <c r="AR288" s="32">
        <v>0.17</v>
      </c>
      <c r="AS288" s="32">
        <v>0.05</v>
      </c>
      <c r="AT288" s="14">
        <v>1</v>
      </c>
      <c r="AU288" s="32">
        <v>1.9</v>
      </c>
      <c r="AV288" s="2">
        <v>1</v>
      </c>
      <c r="AW288" s="2">
        <v>1</v>
      </c>
    </row>
    <row r="289" spans="1:49" x14ac:dyDescent="0.2">
      <c r="A289" s="3">
        <v>155</v>
      </c>
      <c r="B289" t="s">
        <v>25</v>
      </c>
      <c r="C289" s="2">
        <v>68.7</v>
      </c>
      <c r="D289" s="4">
        <v>2</v>
      </c>
      <c r="E289" s="4">
        <v>2</v>
      </c>
      <c r="F289" s="5">
        <v>1</v>
      </c>
      <c r="G289" s="5">
        <v>31.6</v>
      </c>
      <c r="H289">
        <v>1</v>
      </c>
      <c r="I289" t="s">
        <v>26</v>
      </c>
      <c r="J289" s="2">
        <v>1</v>
      </c>
      <c r="K289">
        <v>3</v>
      </c>
      <c r="M289" s="2">
        <v>0.2</v>
      </c>
      <c r="N289">
        <v>1</v>
      </c>
      <c r="O289">
        <v>2</v>
      </c>
      <c r="P289">
        <v>2</v>
      </c>
      <c r="Q289">
        <v>2</v>
      </c>
      <c r="R289">
        <v>2</v>
      </c>
      <c r="T289" s="1"/>
      <c r="U289" s="1"/>
      <c r="V289" s="13"/>
      <c r="W289" s="1"/>
      <c r="Y289" s="4">
        <v>2</v>
      </c>
      <c r="Z289">
        <v>1</v>
      </c>
      <c r="AA289">
        <v>3</v>
      </c>
      <c r="AB289">
        <v>1</v>
      </c>
      <c r="AC289" s="2">
        <v>1</v>
      </c>
      <c r="AD289" s="19"/>
      <c r="AE289" s="2">
        <v>1</v>
      </c>
      <c r="AF289" s="2">
        <v>1</v>
      </c>
      <c r="AH289" s="9"/>
      <c r="AI289" s="10"/>
      <c r="AJ289" s="35"/>
      <c r="AK289" s="2">
        <v>0</v>
      </c>
      <c r="AL289" s="1"/>
      <c r="AM289" s="26"/>
      <c r="AN289" s="29"/>
      <c r="AO289" s="39"/>
      <c r="AP289" s="29"/>
      <c r="AQ289" s="2">
        <v>80</v>
      </c>
      <c r="AR289" s="29">
        <v>2.86</v>
      </c>
      <c r="AS289" s="28">
        <v>0.31</v>
      </c>
      <c r="AT289" s="13">
        <v>1</v>
      </c>
      <c r="AU289" s="29">
        <v>2.2000000000000002</v>
      </c>
      <c r="AV289" s="2">
        <v>2</v>
      </c>
      <c r="AW289" s="2">
        <v>1</v>
      </c>
    </row>
    <row r="290" spans="1:49" x14ac:dyDescent="0.2">
      <c r="A290" s="3">
        <v>278</v>
      </c>
      <c r="B290" t="s">
        <v>25</v>
      </c>
      <c r="C290" s="2">
        <v>51.5</v>
      </c>
      <c r="D290" s="4">
        <v>2</v>
      </c>
      <c r="E290" s="4">
        <v>2</v>
      </c>
      <c r="F290" s="5">
        <v>1</v>
      </c>
      <c r="G290" s="5"/>
      <c r="H290">
        <v>1</v>
      </c>
      <c r="I290" t="s">
        <v>26</v>
      </c>
      <c r="J290" s="2">
        <v>1</v>
      </c>
      <c r="K290">
        <v>3</v>
      </c>
      <c r="M290" s="2">
        <v>0.2</v>
      </c>
      <c r="N290">
        <v>1</v>
      </c>
      <c r="O290">
        <v>2</v>
      </c>
      <c r="P290">
        <v>2</v>
      </c>
      <c r="Q290">
        <v>2</v>
      </c>
      <c r="R290">
        <v>2</v>
      </c>
      <c r="S290">
        <v>2</v>
      </c>
      <c r="T290" s="1"/>
      <c r="U290" s="1"/>
      <c r="V290" s="13"/>
      <c r="W290" s="1"/>
      <c r="Y290" s="4">
        <v>2</v>
      </c>
      <c r="Z290">
        <v>1</v>
      </c>
      <c r="AA290">
        <v>0</v>
      </c>
      <c r="AB290">
        <v>1</v>
      </c>
      <c r="AC290" s="2">
        <v>1</v>
      </c>
      <c r="AD290" s="19"/>
      <c r="AE290" s="2">
        <v>1</v>
      </c>
      <c r="AF290" s="2">
        <v>1</v>
      </c>
      <c r="AH290" s="9"/>
      <c r="AI290" s="10"/>
      <c r="AJ290" s="35"/>
      <c r="AK290" s="2">
        <v>0</v>
      </c>
      <c r="AL290" s="1"/>
      <c r="AM290" s="26"/>
      <c r="AN290" s="29"/>
      <c r="AO290" s="39"/>
      <c r="AP290" s="28"/>
      <c r="AQ290" s="2">
        <v>112</v>
      </c>
      <c r="AR290" s="29">
        <v>0.23</v>
      </c>
      <c r="AS290" s="28">
        <v>0.1</v>
      </c>
      <c r="AT290" s="13">
        <v>1</v>
      </c>
      <c r="AU290" s="29">
        <v>2.2999999999999998</v>
      </c>
      <c r="AV290" s="2">
        <v>1</v>
      </c>
      <c r="AW290" s="2">
        <v>1</v>
      </c>
    </row>
    <row r="291" spans="1:49" x14ac:dyDescent="0.2">
      <c r="A291" s="3">
        <v>271</v>
      </c>
      <c r="B291" t="s">
        <v>25</v>
      </c>
      <c r="C291" s="2">
        <v>34.200000000000003</v>
      </c>
      <c r="D291" s="4">
        <v>2</v>
      </c>
      <c r="E291" s="4">
        <v>2</v>
      </c>
      <c r="F291" s="5"/>
      <c r="G291" s="5">
        <v>27.3</v>
      </c>
      <c r="H291">
        <v>2</v>
      </c>
      <c r="I291" t="s">
        <v>28</v>
      </c>
      <c r="J291" s="2">
        <v>1</v>
      </c>
      <c r="K291">
        <v>3</v>
      </c>
      <c r="M291" s="2">
        <v>2.2999999999999998</v>
      </c>
      <c r="N291">
        <v>2</v>
      </c>
      <c r="O291">
        <v>2</v>
      </c>
      <c r="P291">
        <v>2</v>
      </c>
      <c r="S291">
        <v>1</v>
      </c>
      <c r="T291" s="3">
        <v>2</v>
      </c>
      <c r="U291" s="3">
        <v>2</v>
      </c>
      <c r="V291" s="13">
        <v>100</v>
      </c>
      <c r="W291" s="1"/>
      <c r="Y291" s="4"/>
      <c r="Z291">
        <v>2</v>
      </c>
      <c r="AA291">
        <v>1</v>
      </c>
      <c r="AB291">
        <v>1</v>
      </c>
      <c r="AC291" s="2">
        <v>1</v>
      </c>
      <c r="AD291" s="19"/>
      <c r="AE291" s="2">
        <v>2</v>
      </c>
      <c r="AF291" s="2">
        <v>2</v>
      </c>
      <c r="AH291" s="5"/>
      <c r="AI291" s="10"/>
      <c r="AJ291" s="35"/>
      <c r="AK291" s="2">
        <v>1</v>
      </c>
      <c r="AL291" s="3">
        <v>150</v>
      </c>
      <c r="AM291" s="26">
        <v>100</v>
      </c>
      <c r="AN291" s="29">
        <v>13.7</v>
      </c>
      <c r="AO291" s="38">
        <v>1</v>
      </c>
      <c r="AP291" s="28"/>
      <c r="AQ291" s="2">
        <v>136.19999999999999</v>
      </c>
      <c r="AR291" s="29">
        <v>68.290000000000006</v>
      </c>
      <c r="AS291" s="28">
        <v>0.4</v>
      </c>
      <c r="AT291" s="13">
        <v>1</v>
      </c>
      <c r="AU291" s="29">
        <v>20</v>
      </c>
      <c r="AV291" s="2">
        <v>1</v>
      </c>
      <c r="AW291" s="2">
        <v>1</v>
      </c>
    </row>
    <row r="292" spans="1:49" x14ac:dyDescent="0.2">
      <c r="A292" s="3">
        <v>244</v>
      </c>
      <c r="B292" t="s">
        <v>25</v>
      </c>
      <c r="C292" s="2">
        <v>50</v>
      </c>
      <c r="D292" s="4">
        <v>2</v>
      </c>
      <c r="E292" s="4">
        <v>2</v>
      </c>
      <c r="F292" s="5">
        <v>1</v>
      </c>
      <c r="G292" s="5">
        <v>25.7</v>
      </c>
      <c r="H292">
        <v>2</v>
      </c>
      <c r="I292" t="s">
        <v>26</v>
      </c>
      <c r="J292" s="2">
        <v>1</v>
      </c>
      <c r="K292">
        <v>3</v>
      </c>
      <c r="M292" s="2">
        <v>2</v>
      </c>
      <c r="N292">
        <v>1</v>
      </c>
      <c r="O292">
        <v>1</v>
      </c>
      <c r="P292">
        <v>1</v>
      </c>
      <c r="Q292">
        <v>2</v>
      </c>
      <c r="R292">
        <v>2</v>
      </c>
      <c r="S292">
        <v>1</v>
      </c>
      <c r="T292" s="3">
        <v>15</v>
      </c>
      <c r="U292" s="3">
        <v>1</v>
      </c>
      <c r="V292" s="13">
        <v>6.67</v>
      </c>
      <c r="W292" s="2">
        <v>0.9</v>
      </c>
      <c r="X292">
        <v>2</v>
      </c>
      <c r="Y292" s="4">
        <v>1</v>
      </c>
      <c r="Z292">
        <v>1</v>
      </c>
      <c r="AA292">
        <v>1</v>
      </c>
      <c r="AB292">
        <v>1</v>
      </c>
      <c r="AC292" s="2">
        <v>1</v>
      </c>
      <c r="AD292" s="19"/>
      <c r="AE292" s="2">
        <v>2</v>
      </c>
      <c r="AF292" s="2">
        <v>3</v>
      </c>
      <c r="AH292" s="9"/>
      <c r="AI292" s="10"/>
      <c r="AJ292" s="35"/>
      <c r="AK292" s="2">
        <v>1</v>
      </c>
      <c r="AL292" s="3">
        <v>150</v>
      </c>
      <c r="AM292" s="26">
        <v>106</v>
      </c>
      <c r="AN292" s="30">
        <v>0.1</v>
      </c>
      <c r="AO292" s="38">
        <v>1</v>
      </c>
      <c r="AP292" s="34">
        <v>10</v>
      </c>
      <c r="AQ292" s="2">
        <v>129.9</v>
      </c>
      <c r="AR292" s="29">
        <v>0.83</v>
      </c>
      <c r="AS292" s="28">
        <v>0.1</v>
      </c>
      <c r="AT292" s="13">
        <v>1</v>
      </c>
      <c r="AU292" s="29">
        <v>1.3</v>
      </c>
      <c r="AV292" s="2">
        <v>1</v>
      </c>
      <c r="AW292" s="2">
        <v>1</v>
      </c>
    </row>
    <row r="293" spans="1:49" x14ac:dyDescent="0.2">
      <c r="A293" s="3">
        <v>327</v>
      </c>
      <c r="B293" t="s">
        <v>25</v>
      </c>
      <c r="C293" s="2">
        <v>56.2</v>
      </c>
      <c r="D293" s="4">
        <v>2</v>
      </c>
      <c r="E293" s="4">
        <v>2</v>
      </c>
      <c r="F293" s="5"/>
      <c r="G293" s="5">
        <v>29.2</v>
      </c>
      <c r="H293">
        <v>1</v>
      </c>
      <c r="I293" t="s">
        <v>28</v>
      </c>
      <c r="J293" s="2">
        <v>1</v>
      </c>
      <c r="K293">
        <v>3</v>
      </c>
      <c r="M293" s="2">
        <v>1.5</v>
      </c>
      <c r="N293">
        <v>1</v>
      </c>
      <c r="O293">
        <v>2</v>
      </c>
      <c r="P293">
        <v>2</v>
      </c>
      <c r="Q293">
        <v>2</v>
      </c>
      <c r="R293">
        <v>2</v>
      </c>
      <c r="S293">
        <v>1</v>
      </c>
      <c r="T293" s="3">
        <v>1</v>
      </c>
      <c r="U293" s="3">
        <v>1</v>
      </c>
      <c r="V293" s="13">
        <v>100</v>
      </c>
      <c r="W293" s="2">
        <v>0.6</v>
      </c>
      <c r="X293">
        <v>2</v>
      </c>
      <c r="Y293" s="4">
        <v>2</v>
      </c>
      <c r="Z293">
        <v>1</v>
      </c>
      <c r="AA293">
        <v>1</v>
      </c>
      <c r="AB293">
        <v>1</v>
      </c>
      <c r="AC293" s="2">
        <v>1</v>
      </c>
      <c r="AD293" s="19"/>
      <c r="AE293" s="2">
        <v>2</v>
      </c>
      <c r="AF293" s="2">
        <v>2</v>
      </c>
      <c r="AH293" s="5"/>
      <c r="AI293" s="10"/>
      <c r="AJ293" s="35"/>
      <c r="AK293" s="2">
        <v>1</v>
      </c>
      <c r="AL293" s="3">
        <v>100</v>
      </c>
      <c r="AM293" s="26">
        <v>124</v>
      </c>
      <c r="AN293" s="29">
        <v>1.03</v>
      </c>
      <c r="AO293" s="38">
        <v>1</v>
      </c>
      <c r="AP293" s="34">
        <v>10</v>
      </c>
      <c r="AQ293" s="2">
        <v>90.8</v>
      </c>
      <c r="AR293" s="29">
        <v>0.2</v>
      </c>
      <c r="AS293" s="34">
        <v>0.1</v>
      </c>
      <c r="AT293" s="13">
        <v>1</v>
      </c>
      <c r="AU293" s="29">
        <v>20</v>
      </c>
      <c r="AV293" s="2">
        <v>1</v>
      </c>
      <c r="AW293" s="2">
        <v>1</v>
      </c>
    </row>
    <row r="294" spans="1:49" x14ac:dyDescent="0.2">
      <c r="A294" s="3">
        <v>234</v>
      </c>
      <c r="B294" t="s">
        <v>25</v>
      </c>
      <c r="C294" s="2">
        <v>46</v>
      </c>
      <c r="D294" s="4">
        <v>2</v>
      </c>
      <c r="E294" s="4">
        <v>2</v>
      </c>
      <c r="F294" s="5">
        <v>1</v>
      </c>
      <c r="G294" s="5"/>
      <c r="H294">
        <v>2</v>
      </c>
      <c r="I294" t="s">
        <v>26</v>
      </c>
      <c r="J294" s="2">
        <v>1</v>
      </c>
      <c r="M294" s="2">
        <v>2.5</v>
      </c>
      <c r="N294">
        <v>2</v>
      </c>
      <c r="O294">
        <v>1</v>
      </c>
      <c r="P294">
        <v>1</v>
      </c>
      <c r="Q294">
        <v>2</v>
      </c>
      <c r="S294">
        <v>1</v>
      </c>
      <c r="T294" s="3">
        <v>5</v>
      </c>
      <c r="U294" s="3">
        <v>1</v>
      </c>
      <c r="V294" s="13">
        <v>20</v>
      </c>
      <c r="W294" s="2">
        <v>0.8</v>
      </c>
      <c r="Y294" s="4">
        <v>1</v>
      </c>
      <c r="Z294">
        <v>2</v>
      </c>
      <c r="AA294">
        <v>1</v>
      </c>
      <c r="AB294">
        <v>1</v>
      </c>
      <c r="AC294" s="2">
        <v>1</v>
      </c>
      <c r="AD294" s="19"/>
      <c r="AE294" s="2">
        <v>2</v>
      </c>
      <c r="AF294" s="2">
        <v>3</v>
      </c>
      <c r="AH294" s="9"/>
      <c r="AI294" s="10"/>
      <c r="AJ294" s="35"/>
      <c r="AK294" s="2">
        <v>1</v>
      </c>
      <c r="AL294" s="3">
        <v>100</v>
      </c>
      <c r="AM294" s="26">
        <v>130</v>
      </c>
      <c r="AN294" s="28"/>
      <c r="AO294" s="39"/>
      <c r="AP294" s="28"/>
      <c r="AQ294" s="2">
        <v>98.5</v>
      </c>
      <c r="AR294" s="29">
        <v>6.95</v>
      </c>
      <c r="AS294" s="28">
        <v>0.1</v>
      </c>
      <c r="AT294" s="13">
        <v>1</v>
      </c>
      <c r="AU294" s="29">
        <v>1.3</v>
      </c>
      <c r="AV294" s="2">
        <v>1</v>
      </c>
      <c r="AW294" s="2">
        <v>1</v>
      </c>
    </row>
    <row r="295" spans="1:49" x14ac:dyDescent="0.2">
      <c r="A295" s="3">
        <v>169</v>
      </c>
      <c r="B295" t="s">
        <v>25</v>
      </c>
      <c r="C295" s="2">
        <v>49.4</v>
      </c>
      <c r="D295" s="4">
        <v>2</v>
      </c>
      <c r="E295" s="4">
        <v>2</v>
      </c>
      <c r="F295" s="5">
        <v>1</v>
      </c>
      <c r="G295" s="5">
        <v>25.3</v>
      </c>
      <c r="H295">
        <v>1</v>
      </c>
      <c r="I295" t="s">
        <v>26</v>
      </c>
      <c r="J295" s="2">
        <v>1</v>
      </c>
      <c r="K295">
        <v>1</v>
      </c>
      <c r="M295" s="2">
        <v>1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 s="1"/>
      <c r="U295" s="1"/>
      <c r="V295" s="13"/>
      <c r="W295" s="1"/>
      <c r="Y295" s="4">
        <v>2</v>
      </c>
      <c r="Z295">
        <v>1</v>
      </c>
      <c r="AA295">
        <v>0</v>
      </c>
      <c r="AB295">
        <v>1</v>
      </c>
      <c r="AC295" s="2">
        <v>1</v>
      </c>
      <c r="AD295" s="19"/>
      <c r="AE295" s="2">
        <v>2</v>
      </c>
      <c r="AF295" s="2">
        <v>2</v>
      </c>
      <c r="AH295" s="5"/>
      <c r="AI295" s="10"/>
      <c r="AJ295" s="35"/>
      <c r="AK295" s="2">
        <v>1</v>
      </c>
      <c r="AL295" s="3">
        <v>30</v>
      </c>
      <c r="AM295" s="26"/>
      <c r="AN295" s="29"/>
      <c r="AO295" s="39"/>
      <c r="AP295" s="28"/>
      <c r="AQ295" s="2">
        <v>184.9</v>
      </c>
      <c r="AR295" s="29">
        <v>0.12</v>
      </c>
      <c r="AS295" s="34">
        <f>0.1/2</f>
        <v>0.05</v>
      </c>
      <c r="AT295" s="13">
        <v>1</v>
      </c>
      <c r="AU295" s="29">
        <v>15</v>
      </c>
      <c r="AV295" s="2">
        <v>1</v>
      </c>
      <c r="AW295" s="2">
        <v>1</v>
      </c>
    </row>
    <row r="296" spans="1:49" x14ac:dyDescent="0.2">
      <c r="A296" s="3">
        <v>280</v>
      </c>
      <c r="B296" t="s">
        <v>25</v>
      </c>
      <c r="C296" s="2">
        <v>48.6</v>
      </c>
      <c r="D296" s="4">
        <v>2</v>
      </c>
      <c r="E296" s="4">
        <v>2</v>
      </c>
      <c r="F296" s="5"/>
      <c r="G296" s="5">
        <v>38.200000000000003</v>
      </c>
      <c r="H296">
        <v>2</v>
      </c>
      <c r="I296" t="s">
        <v>26</v>
      </c>
      <c r="J296" s="2">
        <v>1</v>
      </c>
      <c r="K296">
        <v>1</v>
      </c>
      <c r="M296" s="2">
        <v>11.3</v>
      </c>
      <c r="N296">
        <v>1</v>
      </c>
      <c r="O296">
        <v>1</v>
      </c>
      <c r="P296">
        <v>1</v>
      </c>
      <c r="Q296">
        <v>1</v>
      </c>
      <c r="R296">
        <v>2</v>
      </c>
      <c r="S296">
        <v>1</v>
      </c>
      <c r="T296" s="3">
        <v>1</v>
      </c>
      <c r="U296" s="3">
        <v>1</v>
      </c>
      <c r="V296" s="13">
        <v>100</v>
      </c>
      <c r="W296" s="2">
        <v>1.1000000000000001</v>
      </c>
      <c r="X296">
        <v>2</v>
      </c>
      <c r="Y296" s="4">
        <v>2</v>
      </c>
      <c r="Z296">
        <v>3</v>
      </c>
      <c r="AA296">
        <v>1</v>
      </c>
      <c r="AB296">
        <v>1</v>
      </c>
      <c r="AC296" s="2">
        <v>1</v>
      </c>
      <c r="AD296" s="19"/>
      <c r="AE296" s="2">
        <v>2</v>
      </c>
      <c r="AF296" s="2">
        <v>3</v>
      </c>
      <c r="AH296" s="9"/>
      <c r="AI296" s="10"/>
      <c r="AJ296" s="35"/>
      <c r="AK296" s="2">
        <v>1</v>
      </c>
      <c r="AL296" s="3">
        <v>200</v>
      </c>
      <c r="AM296" s="26">
        <v>150</v>
      </c>
      <c r="AN296" s="29">
        <v>10.050000000000001</v>
      </c>
      <c r="AO296" s="38">
        <v>1</v>
      </c>
      <c r="AP296" s="34">
        <v>10</v>
      </c>
      <c r="AQ296" s="2">
        <v>154.19999999999999</v>
      </c>
      <c r="AR296" s="29">
        <v>0.66</v>
      </c>
      <c r="AS296" s="34">
        <f>0.1/2</f>
        <v>0.05</v>
      </c>
      <c r="AT296" s="13">
        <v>1</v>
      </c>
      <c r="AU296" s="29">
        <v>1.3</v>
      </c>
      <c r="AV296" s="2">
        <v>1</v>
      </c>
      <c r="AW296" s="2">
        <v>1</v>
      </c>
    </row>
    <row r="297" spans="1:49" x14ac:dyDescent="0.2">
      <c r="A297" s="3">
        <v>74</v>
      </c>
      <c r="B297" t="s">
        <v>25</v>
      </c>
      <c r="C297" s="2">
        <v>49.1</v>
      </c>
      <c r="D297" s="4">
        <v>2</v>
      </c>
      <c r="E297" s="4">
        <v>2</v>
      </c>
      <c r="F297" s="5">
        <v>1</v>
      </c>
      <c r="G297" s="5">
        <v>24.1</v>
      </c>
      <c r="H297">
        <v>1</v>
      </c>
      <c r="I297" t="s">
        <v>26</v>
      </c>
      <c r="J297" s="2">
        <v>1</v>
      </c>
      <c r="M297" s="2">
        <v>0.6</v>
      </c>
      <c r="N297">
        <v>1</v>
      </c>
      <c r="O297">
        <v>2</v>
      </c>
      <c r="P297">
        <v>2</v>
      </c>
      <c r="T297" s="1"/>
      <c r="U297" s="1"/>
      <c r="V297" s="13"/>
      <c r="W297" s="1"/>
      <c r="Y297" s="4">
        <v>1</v>
      </c>
      <c r="Z297">
        <v>1</v>
      </c>
      <c r="AA297">
        <v>3</v>
      </c>
      <c r="AB297">
        <v>1</v>
      </c>
      <c r="AC297" s="2">
        <v>1</v>
      </c>
      <c r="AD297" s="19"/>
      <c r="AE297" s="2">
        <v>1</v>
      </c>
      <c r="AF297" s="2">
        <v>1</v>
      </c>
      <c r="AG297" s="13">
        <v>15</v>
      </c>
      <c r="AH297" s="9"/>
      <c r="AI297" s="10"/>
      <c r="AJ297" s="35"/>
      <c r="AK297" s="2">
        <v>1</v>
      </c>
      <c r="AL297" s="3">
        <v>30</v>
      </c>
      <c r="AM297" s="26"/>
      <c r="AN297" s="29"/>
      <c r="AO297" s="39"/>
      <c r="AP297" s="28"/>
      <c r="AQ297" s="2">
        <v>202.8</v>
      </c>
      <c r="AR297" s="29">
        <v>2.11</v>
      </c>
      <c r="AS297" s="28">
        <v>0.1</v>
      </c>
      <c r="AT297" s="13">
        <v>1</v>
      </c>
      <c r="AU297" s="29">
        <v>39</v>
      </c>
      <c r="AV297" s="2">
        <v>1</v>
      </c>
      <c r="AW297" s="2">
        <v>1</v>
      </c>
    </row>
    <row r="298" spans="1:49" x14ac:dyDescent="0.2">
      <c r="A298" s="3">
        <v>215</v>
      </c>
      <c r="B298" t="s">
        <v>25</v>
      </c>
      <c r="C298" s="2">
        <v>34.200000000000003</v>
      </c>
      <c r="D298" s="4">
        <v>2</v>
      </c>
      <c r="E298" s="4">
        <v>2</v>
      </c>
      <c r="F298" s="5">
        <v>1</v>
      </c>
      <c r="G298" s="5">
        <v>30.8</v>
      </c>
      <c r="H298">
        <v>1</v>
      </c>
      <c r="I298" t="s">
        <v>26</v>
      </c>
      <c r="J298" s="2">
        <v>1</v>
      </c>
      <c r="K298">
        <v>1</v>
      </c>
      <c r="M298" s="2">
        <v>0.4</v>
      </c>
      <c r="N298">
        <v>1</v>
      </c>
      <c r="O298">
        <v>2</v>
      </c>
      <c r="P298">
        <v>2</v>
      </c>
      <c r="Q298">
        <v>2</v>
      </c>
      <c r="R298">
        <v>2</v>
      </c>
      <c r="S298">
        <v>2</v>
      </c>
      <c r="T298" s="1"/>
      <c r="U298" s="1"/>
      <c r="V298" s="13"/>
      <c r="W298" s="1"/>
      <c r="Y298" s="4"/>
      <c r="Z298">
        <v>1</v>
      </c>
      <c r="AA298">
        <v>0</v>
      </c>
      <c r="AB298">
        <v>1</v>
      </c>
      <c r="AC298" s="2">
        <v>1</v>
      </c>
      <c r="AD298" s="19"/>
      <c r="AE298" s="2">
        <v>1</v>
      </c>
      <c r="AF298" s="2">
        <v>1</v>
      </c>
      <c r="AH298" s="9"/>
      <c r="AI298" s="10"/>
      <c r="AJ298" s="35"/>
      <c r="AK298" s="2">
        <v>1</v>
      </c>
      <c r="AL298" s="3">
        <v>30</v>
      </c>
      <c r="AM298" s="26"/>
      <c r="AN298" s="29"/>
      <c r="AO298" s="39"/>
      <c r="AP298" s="28"/>
      <c r="AQ298" s="2">
        <v>81.8</v>
      </c>
      <c r="AR298" s="29">
        <v>1.81</v>
      </c>
      <c r="AS298" s="28">
        <v>0.1</v>
      </c>
      <c r="AT298" s="13">
        <v>2</v>
      </c>
      <c r="AU298" s="29">
        <v>167</v>
      </c>
      <c r="AV298" s="2">
        <v>1</v>
      </c>
      <c r="AW298" s="2">
        <v>1</v>
      </c>
    </row>
    <row r="299" spans="1:49" x14ac:dyDescent="0.2">
      <c r="A299" s="3">
        <v>145</v>
      </c>
      <c r="B299" t="s">
        <v>25</v>
      </c>
      <c r="C299" s="2">
        <v>73.5</v>
      </c>
      <c r="D299" s="4">
        <v>2</v>
      </c>
      <c r="E299" s="4">
        <v>2</v>
      </c>
      <c r="F299" s="5">
        <v>1</v>
      </c>
      <c r="G299" s="5">
        <v>29.4</v>
      </c>
      <c r="H299">
        <v>2</v>
      </c>
      <c r="I299" t="s">
        <v>26</v>
      </c>
      <c r="J299" s="2">
        <v>1</v>
      </c>
      <c r="K299">
        <v>3</v>
      </c>
      <c r="M299" s="2">
        <v>1.6</v>
      </c>
      <c r="N299">
        <v>2</v>
      </c>
      <c r="O299">
        <v>1</v>
      </c>
      <c r="P299">
        <v>1</v>
      </c>
      <c r="R299">
        <v>2</v>
      </c>
      <c r="S299">
        <v>1</v>
      </c>
      <c r="T299" s="3">
        <v>9</v>
      </c>
      <c r="U299" s="3">
        <v>1</v>
      </c>
      <c r="V299" s="13">
        <v>11.11</v>
      </c>
      <c r="W299" s="2">
        <v>1</v>
      </c>
      <c r="X299">
        <v>2</v>
      </c>
      <c r="Y299" s="4">
        <v>2</v>
      </c>
      <c r="Z299">
        <v>1</v>
      </c>
      <c r="AA299">
        <v>1</v>
      </c>
      <c r="AB299">
        <v>1</v>
      </c>
      <c r="AC299" s="2">
        <v>2</v>
      </c>
      <c r="AD299" s="19"/>
      <c r="AE299" s="2">
        <v>2</v>
      </c>
      <c r="AF299" s="2">
        <v>3</v>
      </c>
      <c r="AH299" s="9"/>
      <c r="AI299" s="10"/>
      <c r="AJ299" s="35"/>
      <c r="AK299" s="2">
        <v>1</v>
      </c>
      <c r="AL299" s="3">
        <v>100</v>
      </c>
      <c r="AM299" s="26">
        <v>150</v>
      </c>
      <c r="AN299" s="29">
        <v>58</v>
      </c>
      <c r="AO299" s="38">
        <v>1</v>
      </c>
      <c r="AP299" s="34">
        <v>10</v>
      </c>
      <c r="AQ299" s="2">
        <v>76.7</v>
      </c>
      <c r="AR299" s="29">
        <v>3.89</v>
      </c>
      <c r="AS299" s="28">
        <v>0.82</v>
      </c>
      <c r="AT299" s="13">
        <v>1</v>
      </c>
      <c r="AU299" s="29">
        <v>20</v>
      </c>
      <c r="AV299" s="2">
        <v>2</v>
      </c>
      <c r="AW299" s="2">
        <v>2</v>
      </c>
    </row>
    <row r="300" spans="1:49" x14ac:dyDescent="0.2">
      <c r="A300" s="3">
        <v>463</v>
      </c>
      <c r="B300" t="s">
        <v>25</v>
      </c>
      <c r="C300" s="2">
        <v>45</v>
      </c>
      <c r="D300" s="4">
        <v>2</v>
      </c>
      <c r="E300" s="4">
        <v>2</v>
      </c>
      <c r="F300" s="5"/>
      <c r="G300" s="5"/>
      <c r="H300">
        <v>2</v>
      </c>
      <c r="I300" t="s">
        <v>26</v>
      </c>
      <c r="J300" s="2">
        <v>1</v>
      </c>
      <c r="K300">
        <v>3</v>
      </c>
      <c r="M300" s="2">
        <v>1.2</v>
      </c>
      <c r="N300">
        <v>1</v>
      </c>
      <c r="O300">
        <v>1</v>
      </c>
      <c r="P300">
        <v>1</v>
      </c>
      <c r="Q300">
        <v>2</v>
      </c>
      <c r="R300">
        <v>2</v>
      </c>
      <c r="T300" s="1"/>
      <c r="U300" s="1"/>
      <c r="V300" s="13"/>
      <c r="W300" s="1"/>
      <c r="Y300" s="4">
        <v>1</v>
      </c>
      <c r="Z300">
        <v>1</v>
      </c>
      <c r="AA300">
        <v>3</v>
      </c>
      <c r="AB300">
        <v>1</v>
      </c>
      <c r="AC300" s="2">
        <v>1</v>
      </c>
      <c r="AD300" s="6">
        <v>1</v>
      </c>
      <c r="AE300" s="2">
        <v>1</v>
      </c>
      <c r="AF300" s="2">
        <v>3</v>
      </c>
      <c r="AH300" s="9"/>
      <c r="AI300" s="10"/>
      <c r="AJ300" s="35"/>
      <c r="AK300" s="2">
        <v>1</v>
      </c>
      <c r="AL300" s="3">
        <v>50</v>
      </c>
      <c r="AM300" s="26"/>
      <c r="AN300" s="28"/>
      <c r="AO300" s="39"/>
      <c r="AP300" s="28"/>
      <c r="AQ300" s="2">
        <v>17.399999999999999</v>
      </c>
      <c r="AR300" s="29">
        <v>0.1</v>
      </c>
      <c r="AS300" s="28">
        <v>0.1</v>
      </c>
      <c r="AT300" s="13">
        <v>2</v>
      </c>
      <c r="AU300" s="29">
        <v>187</v>
      </c>
      <c r="AV300" s="2">
        <v>4</v>
      </c>
      <c r="AW300" s="2">
        <v>4</v>
      </c>
    </row>
    <row r="301" spans="1:49" x14ac:dyDescent="0.2">
      <c r="A301" s="3">
        <v>66</v>
      </c>
      <c r="B301" t="s">
        <v>25</v>
      </c>
      <c r="C301" s="2">
        <v>54.9</v>
      </c>
      <c r="D301" s="4">
        <v>2</v>
      </c>
      <c r="E301" s="4">
        <v>2</v>
      </c>
      <c r="F301" s="5">
        <v>1</v>
      </c>
      <c r="G301" s="5">
        <v>26.2</v>
      </c>
      <c r="H301">
        <v>2</v>
      </c>
      <c r="I301" t="s">
        <v>26</v>
      </c>
      <c r="J301" s="2">
        <v>1</v>
      </c>
      <c r="K301">
        <v>1</v>
      </c>
      <c r="M301" s="2">
        <v>1.9</v>
      </c>
      <c r="N301">
        <v>1</v>
      </c>
      <c r="O301">
        <v>2</v>
      </c>
      <c r="P301">
        <v>2</v>
      </c>
      <c r="Q301">
        <v>2</v>
      </c>
      <c r="R301">
        <v>2</v>
      </c>
      <c r="S301">
        <v>2</v>
      </c>
      <c r="T301" s="1"/>
      <c r="U301" s="1"/>
      <c r="V301" s="13"/>
      <c r="W301" s="1"/>
      <c r="Y301" s="4">
        <v>2</v>
      </c>
      <c r="Z301">
        <v>1</v>
      </c>
      <c r="AA301">
        <v>0</v>
      </c>
      <c r="AB301">
        <v>1</v>
      </c>
      <c r="AC301" s="2">
        <v>1</v>
      </c>
      <c r="AD301" s="19"/>
      <c r="AE301" s="2">
        <v>1</v>
      </c>
      <c r="AF301" s="2">
        <v>1</v>
      </c>
      <c r="AH301" s="9"/>
      <c r="AI301" s="10"/>
      <c r="AJ301" s="35"/>
      <c r="AK301" s="2">
        <v>0</v>
      </c>
      <c r="AL301" s="1"/>
      <c r="AM301" s="26"/>
      <c r="AN301" s="29"/>
      <c r="AO301" s="39"/>
      <c r="AP301" s="28"/>
      <c r="AQ301" s="2">
        <v>39.700000000000003</v>
      </c>
      <c r="AR301" s="29">
        <v>1.64</v>
      </c>
      <c r="AS301" s="28">
        <v>0.28999999999999998</v>
      </c>
      <c r="AT301" s="13">
        <v>1</v>
      </c>
      <c r="AU301" s="29">
        <v>1.3</v>
      </c>
      <c r="AV301" s="2">
        <v>2</v>
      </c>
      <c r="AW301" s="2">
        <v>1</v>
      </c>
    </row>
    <row r="302" spans="1:49" x14ac:dyDescent="0.2">
      <c r="A302" s="3">
        <v>107</v>
      </c>
      <c r="B302" t="s">
        <v>25</v>
      </c>
      <c r="C302" s="2">
        <v>43.8</v>
      </c>
      <c r="D302" s="4">
        <v>2</v>
      </c>
      <c r="E302" s="4">
        <v>2</v>
      </c>
      <c r="F302" s="5">
        <v>1</v>
      </c>
      <c r="G302" s="5">
        <v>23.2</v>
      </c>
      <c r="H302">
        <v>2</v>
      </c>
      <c r="I302" t="s">
        <v>26</v>
      </c>
      <c r="J302" s="2">
        <v>1</v>
      </c>
      <c r="K302">
        <v>1</v>
      </c>
      <c r="M302" s="2">
        <v>1.3</v>
      </c>
      <c r="N302">
        <v>2</v>
      </c>
      <c r="O302">
        <v>2</v>
      </c>
      <c r="P302">
        <v>2</v>
      </c>
      <c r="Q302">
        <v>1</v>
      </c>
      <c r="R302">
        <v>2</v>
      </c>
      <c r="S302">
        <v>1</v>
      </c>
      <c r="T302" s="3">
        <v>9</v>
      </c>
      <c r="U302" s="3">
        <v>9</v>
      </c>
      <c r="V302" s="13">
        <v>100</v>
      </c>
      <c r="W302" s="2">
        <v>0.7</v>
      </c>
      <c r="X302">
        <v>2</v>
      </c>
      <c r="Y302" s="4">
        <v>2</v>
      </c>
      <c r="Z302">
        <v>1</v>
      </c>
      <c r="AA302">
        <v>1</v>
      </c>
      <c r="AB302">
        <v>1</v>
      </c>
      <c r="AC302" s="2">
        <v>1</v>
      </c>
      <c r="AD302" s="6">
        <v>1</v>
      </c>
      <c r="AE302" s="2">
        <v>2</v>
      </c>
      <c r="AF302" s="2">
        <v>3</v>
      </c>
      <c r="AH302" s="9"/>
      <c r="AI302" s="10"/>
      <c r="AJ302" s="35"/>
      <c r="AK302" s="2">
        <v>1</v>
      </c>
      <c r="AL302" s="3">
        <v>100</v>
      </c>
      <c r="AM302" s="27">
        <v>150</v>
      </c>
      <c r="AN302" s="28">
        <v>71.3</v>
      </c>
      <c r="AO302" s="38">
        <v>1</v>
      </c>
      <c r="AP302" s="34">
        <v>10</v>
      </c>
      <c r="AQ302" s="2">
        <v>99.6</v>
      </c>
      <c r="AR302" s="29">
        <v>0.06</v>
      </c>
      <c r="AS302" s="28">
        <v>2.5</v>
      </c>
      <c r="AT302" s="13">
        <v>1</v>
      </c>
      <c r="AU302" s="29">
        <v>20</v>
      </c>
      <c r="AV302" s="2">
        <v>3</v>
      </c>
      <c r="AW302" s="2">
        <v>3</v>
      </c>
    </row>
    <row r="303" spans="1:49" x14ac:dyDescent="0.2">
      <c r="A303" s="3">
        <v>395</v>
      </c>
      <c r="B303" t="s">
        <v>25</v>
      </c>
      <c r="C303" s="2">
        <v>48.4</v>
      </c>
      <c r="D303" s="4">
        <v>2</v>
      </c>
      <c r="E303" s="4">
        <v>2</v>
      </c>
      <c r="F303" s="5">
        <v>2</v>
      </c>
      <c r="G303" s="5">
        <v>23.9</v>
      </c>
      <c r="H303">
        <v>1</v>
      </c>
      <c r="I303" t="s">
        <v>26</v>
      </c>
      <c r="J303" s="2">
        <v>2</v>
      </c>
      <c r="L303">
        <v>1</v>
      </c>
      <c r="M303" s="2">
        <v>2.2999999999999998</v>
      </c>
      <c r="N303">
        <v>1</v>
      </c>
      <c r="O303">
        <v>2</v>
      </c>
      <c r="P303">
        <v>2</v>
      </c>
      <c r="Q303">
        <v>2</v>
      </c>
      <c r="R303">
        <v>2</v>
      </c>
      <c r="S303">
        <v>2</v>
      </c>
      <c r="T303" s="1"/>
      <c r="U303" s="1"/>
      <c r="V303" s="13"/>
      <c r="W303" s="1"/>
      <c r="Y303" s="4">
        <v>1</v>
      </c>
      <c r="Z303">
        <v>2</v>
      </c>
      <c r="AA303">
        <v>0</v>
      </c>
      <c r="AB303">
        <v>1</v>
      </c>
      <c r="AC303" s="2">
        <v>1</v>
      </c>
      <c r="AD303" s="19"/>
      <c r="AE303" s="2">
        <v>2</v>
      </c>
      <c r="AF303" s="2">
        <v>2</v>
      </c>
      <c r="AH303" s="9"/>
      <c r="AI303" s="10"/>
      <c r="AJ303" s="35"/>
      <c r="AK303" s="2">
        <v>1</v>
      </c>
      <c r="AL303" s="3">
        <v>100</v>
      </c>
      <c r="AM303" s="26"/>
      <c r="AN303" s="29"/>
      <c r="AO303" s="39"/>
      <c r="AP303" s="28"/>
      <c r="AQ303" s="2">
        <v>172.9</v>
      </c>
      <c r="AR303" s="29">
        <v>0.03</v>
      </c>
      <c r="AS303" s="28">
        <v>0.1</v>
      </c>
      <c r="AT303" s="13">
        <v>2</v>
      </c>
      <c r="AU303" s="29">
        <v>0.9</v>
      </c>
      <c r="AV303" s="2">
        <v>1</v>
      </c>
      <c r="AW303" s="2">
        <v>1</v>
      </c>
    </row>
    <row r="304" spans="1:49" x14ac:dyDescent="0.2">
      <c r="A304" s="3">
        <v>308</v>
      </c>
      <c r="B304" t="s">
        <v>25</v>
      </c>
      <c r="C304" s="2">
        <v>49.9</v>
      </c>
      <c r="D304" s="4">
        <v>2</v>
      </c>
      <c r="E304" s="4">
        <v>2</v>
      </c>
      <c r="F304" s="5"/>
      <c r="G304" s="5"/>
      <c r="H304">
        <v>1</v>
      </c>
      <c r="I304" t="s">
        <v>26</v>
      </c>
      <c r="J304" s="2">
        <v>1</v>
      </c>
      <c r="K304">
        <v>3</v>
      </c>
      <c r="M304" s="2">
        <v>3.5</v>
      </c>
      <c r="N304">
        <v>1</v>
      </c>
      <c r="O304">
        <v>1</v>
      </c>
      <c r="P304">
        <v>1</v>
      </c>
      <c r="Q304">
        <v>2</v>
      </c>
      <c r="S304">
        <v>1</v>
      </c>
      <c r="T304" s="3">
        <v>1</v>
      </c>
      <c r="U304" s="3">
        <v>1</v>
      </c>
      <c r="V304" s="13">
        <v>100</v>
      </c>
      <c r="W304" s="2">
        <v>1.9</v>
      </c>
      <c r="X304">
        <v>2</v>
      </c>
      <c r="Y304" s="4">
        <v>2</v>
      </c>
      <c r="Z304">
        <v>2</v>
      </c>
      <c r="AA304">
        <v>1</v>
      </c>
      <c r="AB304">
        <v>1</v>
      </c>
      <c r="AC304" s="2">
        <v>1</v>
      </c>
      <c r="AD304" s="19"/>
      <c r="AE304" s="2">
        <v>2</v>
      </c>
      <c r="AF304" s="2">
        <v>3</v>
      </c>
      <c r="AH304" s="9"/>
      <c r="AI304" s="10"/>
      <c r="AJ304" s="35"/>
      <c r="AK304" s="2">
        <v>1</v>
      </c>
      <c r="AL304" s="3">
        <v>200</v>
      </c>
      <c r="AM304" s="27">
        <v>200</v>
      </c>
      <c r="AN304" s="29">
        <v>1</v>
      </c>
      <c r="AO304" s="38">
        <v>1</v>
      </c>
      <c r="AP304" s="28"/>
      <c r="AQ304" s="2">
        <v>186.3</v>
      </c>
      <c r="AR304" s="29">
        <v>1.68</v>
      </c>
      <c r="AS304" s="34">
        <v>0.1</v>
      </c>
      <c r="AT304" s="13">
        <v>1</v>
      </c>
      <c r="AU304" s="29">
        <v>20</v>
      </c>
      <c r="AV304" s="2">
        <v>1</v>
      </c>
      <c r="AW304" s="2">
        <v>1</v>
      </c>
    </row>
    <row r="305" spans="1:49" x14ac:dyDescent="0.2">
      <c r="A305" s="3">
        <v>474</v>
      </c>
      <c r="B305" t="s">
        <v>25</v>
      </c>
      <c r="C305" s="2">
        <v>30.4</v>
      </c>
      <c r="D305" s="4">
        <v>2</v>
      </c>
      <c r="E305" s="4">
        <v>2</v>
      </c>
      <c r="F305" s="5"/>
      <c r="G305" s="5">
        <v>24.3</v>
      </c>
      <c r="H305">
        <v>1</v>
      </c>
      <c r="I305" t="s">
        <v>26</v>
      </c>
      <c r="J305" s="2">
        <v>1</v>
      </c>
      <c r="K305">
        <v>1</v>
      </c>
      <c r="M305" s="2">
        <v>1.5</v>
      </c>
      <c r="N305">
        <v>1</v>
      </c>
      <c r="O305">
        <v>1</v>
      </c>
      <c r="P305">
        <v>2</v>
      </c>
      <c r="T305" s="1"/>
      <c r="U305" s="1"/>
      <c r="V305" s="13"/>
      <c r="W305" s="1"/>
      <c r="Y305" s="4">
        <v>1</v>
      </c>
      <c r="Z305">
        <v>1</v>
      </c>
      <c r="AA305">
        <v>3</v>
      </c>
      <c r="AB305">
        <v>1</v>
      </c>
      <c r="AC305" s="2">
        <v>1</v>
      </c>
      <c r="AD305" s="19"/>
      <c r="AE305" s="2">
        <v>1</v>
      </c>
      <c r="AF305" s="2">
        <v>2</v>
      </c>
      <c r="AH305" s="5"/>
      <c r="AI305" s="10"/>
      <c r="AJ305" s="35"/>
      <c r="AK305" s="2">
        <v>0</v>
      </c>
      <c r="AL305" s="1"/>
      <c r="AM305" s="26"/>
      <c r="AN305" s="29"/>
      <c r="AO305" s="39"/>
      <c r="AP305" s="28"/>
      <c r="AQ305" s="2">
        <v>134.6</v>
      </c>
      <c r="AR305" s="29">
        <v>3.98</v>
      </c>
      <c r="AS305" s="34">
        <f>0.1/2</f>
        <v>0.05</v>
      </c>
      <c r="AT305" s="13">
        <v>1</v>
      </c>
      <c r="AU305" s="29">
        <v>0.9</v>
      </c>
      <c r="AV305" s="2">
        <v>1</v>
      </c>
      <c r="AW305" s="2">
        <v>1</v>
      </c>
    </row>
    <row r="306" spans="1:49" x14ac:dyDescent="0.2">
      <c r="A306" s="3">
        <v>49</v>
      </c>
      <c r="B306" t="s">
        <v>27</v>
      </c>
      <c r="C306" s="2">
        <v>53.5</v>
      </c>
      <c r="D306" s="4">
        <v>2</v>
      </c>
      <c r="E306" s="4">
        <v>2</v>
      </c>
      <c r="F306" s="5">
        <v>1</v>
      </c>
      <c r="G306" s="5">
        <v>23.5</v>
      </c>
      <c r="H306">
        <v>1</v>
      </c>
      <c r="I306" t="s">
        <v>26</v>
      </c>
      <c r="J306" s="2">
        <v>1</v>
      </c>
      <c r="K306">
        <v>11</v>
      </c>
      <c r="M306" s="2">
        <v>2</v>
      </c>
      <c r="N306">
        <v>2</v>
      </c>
      <c r="O306">
        <v>2</v>
      </c>
      <c r="P306">
        <v>2</v>
      </c>
      <c r="Q306">
        <v>2</v>
      </c>
      <c r="R306">
        <v>2</v>
      </c>
      <c r="T306" s="1"/>
      <c r="U306" s="1"/>
      <c r="V306" s="13"/>
      <c r="W306" s="1"/>
      <c r="Y306" s="4">
        <v>2</v>
      </c>
      <c r="Z306">
        <v>1</v>
      </c>
      <c r="AA306">
        <v>3</v>
      </c>
      <c r="AB306">
        <v>1</v>
      </c>
      <c r="AC306" s="2">
        <v>1</v>
      </c>
      <c r="AD306" s="19"/>
      <c r="AE306" s="2">
        <v>2</v>
      </c>
      <c r="AF306" s="2">
        <v>2</v>
      </c>
      <c r="AH306" s="5"/>
      <c r="AI306" s="10"/>
      <c r="AJ306" s="35"/>
      <c r="AK306" s="2">
        <v>1</v>
      </c>
      <c r="AL306" s="3">
        <v>100</v>
      </c>
      <c r="AM306" s="26"/>
      <c r="AN306" s="29"/>
      <c r="AO306" s="39"/>
      <c r="AP306" s="28"/>
      <c r="AQ306" s="2">
        <v>209.8</v>
      </c>
      <c r="AR306" s="32">
        <v>4.01</v>
      </c>
      <c r="AS306" s="34">
        <v>0.05</v>
      </c>
      <c r="AT306" s="13">
        <v>1</v>
      </c>
      <c r="AU306" s="29">
        <v>1.3</v>
      </c>
      <c r="AV306" s="2">
        <v>1</v>
      </c>
      <c r="AW306" s="2">
        <v>1</v>
      </c>
    </row>
    <row r="307" spans="1:49" x14ac:dyDescent="0.2">
      <c r="A307" s="3">
        <v>55</v>
      </c>
      <c r="B307" t="s">
        <v>27</v>
      </c>
      <c r="C307" s="2">
        <v>60.2</v>
      </c>
      <c r="D307" s="4">
        <v>2</v>
      </c>
      <c r="E307" s="4">
        <v>2</v>
      </c>
      <c r="F307" s="5">
        <v>1</v>
      </c>
      <c r="G307" s="5">
        <v>30.4</v>
      </c>
      <c r="H307">
        <v>1</v>
      </c>
      <c r="I307" t="s">
        <v>26</v>
      </c>
      <c r="J307" s="2">
        <v>1</v>
      </c>
      <c r="K307">
        <v>12</v>
      </c>
      <c r="M307" s="2">
        <v>0.6</v>
      </c>
      <c r="N307">
        <v>2</v>
      </c>
      <c r="O307">
        <v>1</v>
      </c>
      <c r="P307">
        <v>1</v>
      </c>
      <c r="Q307">
        <v>2</v>
      </c>
      <c r="R307">
        <v>2</v>
      </c>
      <c r="S307">
        <v>2</v>
      </c>
      <c r="T307" s="1"/>
      <c r="U307" s="1"/>
      <c r="V307" s="13"/>
      <c r="W307" s="1"/>
      <c r="Y307" s="4">
        <v>2</v>
      </c>
      <c r="Z307">
        <v>1</v>
      </c>
      <c r="AA307">
        <v>0</v>
      </c>
      <c r="AB307">
        <v>1</v>
      </c>
      <c r="AC307" s="2">
        <v>1</v>
      </c>
      <c r="AD307" s="6">
        <v>2</v>
      </c>
      <c r="AE307" s="2">
        <v>2</v>
      </c>
      <c r="AF307" s="2">
        <v>3</v>
      </c>
      <c r="AH307" s="9"/>
      <c r="AI307" s="10"/>
      <c r="AJ307" s="35"/>
      <c r="AK307" s="2">
        <v>0</v>
      </c>
      <c r="AL307" s="1"/>
      <c r="AM307" s="26"/>
      <c r="AN307" s="29"/>
      <c r="AO307" s="39"/>
      <c r="AP307" s="28"/>
      <c r="AQ307" s="2">
        <v>100.9</v>
      </c>
      <c r="AR307" s="29">
        <v>2.14</v>
      </c>
      <c r="AS307" s="28">
        <v>0.28000000000000003</v>
      </c>
      <c r="AT307" s="13">
        <v>1</v>
      </c>
      <c r="AU307" s="29">
        <v>1.3</v>
      </c>
      <c r="AV307" s="2">
        <v>2</v>
      </c>
      <c r="AW307" s="2">
        <v>2</v>
      </c>
    </row>
    <row r="308" spans="1:49" x14ac:dyDescent="0.2">
      <c r="A308" s="3">
        <v>413</v>
      </c>
      <c r="B308" t="s">
        <v>27</v>
      </c>
      <c r="C308" s="2">
        <v>21.4</v>
      </c>
      <c r="D308" s="6">
        <v>2</v>
      </c>
      <c r="E308" s="6">
        <v>2</v>
      </c>
      <c r="F308" s="7">
        <v>1</v>
      </c>
      <c r="G308" s="7">
        <v>26.7</v>
      </c>
      <c r="H308">
        <v>2</v>
      </c>
      <c r="I308" t="s">
        <v>26</v>
      </c>
      <c r="J308" s="2">
        <v>1</v>
      </c>
      <c r="K308">
        <v>1</v>
      </c>
      <c r="M308" s="2">
        <v>3.7</v>
      </c>
      <c r="N308">
        <v>3</v>
      </c>
      <c r="O308">
        <v>2</v>
      </c>
      <c r="P308">
        <v>2</v>
      </c>
      <c r="S308">
        <v>1</v>
      </c>
      <c r="T308" s="1"/>
      <c r="U308" s="1"/>
      <c r="V308" s="14"/>
      <c r="W308" s="1"/>
      <c r="Y308" s="6">
        <v>2</v>
      </c>
      <c r="Z308">
        <v>4</v>
      </c>
      <c r="AA308">
        <v>1</v>
      </c>
      <c r="AB308">
        <v>1</v>
      </c>
      <c r="AC308" s="2">
        <v>1</v>
      </c>
      <c r="AD308" s="19"/>
      <c r="AE308" s="2">
        <v>3</v>
      </c>
      <c r="AF308" s="2">
        <v>4</v>
      </c>
      <c r="AG308" s="22"/>
      <c r="AH308" s="23"/>
      <c r="AI308" s="19"/>
      <c r="AJ308" s="36"/>
      <c r="AK308" s="2">
        <v>1</v>
      </c>
      <c r="AL308" s="3">
        <v>100</v>
      </c>
      <c r="AM308" s="26">
        <v>200</v>
      </c>
      <c r="AN308" s="32">
        <v>77</v>
      </c>
      <c r="AO308" s="40">
        <v>1</v>
      </c>
      <c r="AP308" s="31"/>
      <c r="AQ308" s="2">
        <v>285.8</v>
      </c>
      <c r="AR308" s="31">
        <v>0.11</v>
      </c>
      <c r="AS308" s="31">
        <v>3.2</v>
      </c>
      <c r="AT308" s="17">
        <v>1</v>
      </c>
      <c r="AU308" s="29">
        <v>20</v>
      </c>
      <c r="AV308" s="2">
        <v>3</v>
      </c>
      <c r="AW308" s="2">
        <v>3</v>
      </c>
    </row>
    <row r="309" spans="1:49" x14ac:dyDescent="0.2">
      <c r="A309" s="3">
        <v>281</v>
      </c>
      <c r="B309" t="s">
        <v>25</v>
      </c>
      <c r="C309" s="2">
        <v>40.4</v>
      </c>
      <c r="D309" s="4">
        <v>2</v>
      </c>
      <c r="E309" s="4">
        <v>2</v>
      </c>
      <c r="F309" s="5"/>
      <c r="G309" s="5">
        <v>30.5</v>
      </c>
      <c r="H309">
        <v>1</v>
      </c>
      <c r="I309" t="s">
        <v>26</v>
      </c>
      <c r="J309" s="2">
        <v>1</v>
      </c>
      <c r="K309">
        <v>1</v>
      </c>
      <c r="M309" s="2">
        <v>0.7</v>
      </c>
      <c r="O309">
        <v>2</v>
      </c>
      <c r="P309">
        <v>2</v>
      </c>
      <c r="S309">
        <v>1</v>
      </c>
      <c r="T309" s="3">
        <v>21</v>
      </c>
      <c r="U309" s="3">
        <v>3</v>
      </c>
      <c r="V309" s="13">
        <v>14.29</v>
      </c>
      <c r="W309" s="1"/>
      <c r="Y309" s="4"/>
      <c r="Z309">
        <v>1</v>
      </c>
      <c r="AA309">
        <v>1</v>
      </c>
      <c r="AB309">
        <v>1</v>
      </c>
      <c r="AC309" s="2">
        <v>1</v>
      </c>
      <c r="AD309" s="19"/>
      <c r="AE309" s="2">
        <v>2</v>
      </c>
      <c r="AF309" s="2">
        <v>2</v>
      </c>
      <c r="AH309" s="9"/>
      <c r="AI309" s="10"/>
      <c r="AJ309" s="35"/>
      <c r="AK309" s="2">
        <v>1</v>
      </c>
      <c r="AL309" s="3">
        <v>100</v>
      </c>
      <c r="AM309" s="26"/>
      <c r="AN309" s="29">
        <v>2.85</v>
      </c>
      <c r="AO309" s="38">
        <v>1</v>
      </c>
      <c r="AP309" s="28"/>
      <c r="AQ309" s="2">
        <v>192</v>
      </c>
      <c r="AR309" s="29">
        <v>0.09</v>
      </c>
      <c r="AS309" s="28">
        <v>0.74</v>
      </c>
      <c r="AT309" s="13">
        <v>1</v>
      </c>
      <c r="AU309" s="29">
        <v>20</v>
      </c>
      <c r="AV309" s="2">
        <v>2</v>
      </c>
      <c r="AW309" s="2">
        <v>2</v>
      </c>
    </row>
    <row r="310" spans="1:49" x14ac:dyDescent="0.2">
      <c r="A310" s="3">
        <v>152</v>
      </c>
      <c r="B310" t="s">
        <v>25</v>
      </c>
      <c r="C310" s="2">
        <v>57.1</v>
      </c>
      <c r="D310" s="4">
        <v>2</v>
      </c>
      <c r="E310" s="4">
        <v>2</v>
      </c>
      <c r="F310" s="5">
        <v>1</v>
      </c>
      <c r="G310" s="5">
        <v>28.9</v>
      </c>
      <c r="H310">
        <v>1</v>
      </c>
      <c r="I310" t="s">
        <v>28</v>
      </c>
      <c r="J310" s="2">
        <v>3</v>
      </c>
      <c r="M310" s="2">
        <v>5.5</v>
      </c>
      <c r="N310">
        <v>1</v>
      </c>
      <c r="O310">
        <v>2</v>
      </c>
      <c r="P310">
        <v>2</v>
      </c>
      <c r="Q310">
        <v>2</v>
      </c>
      <c r="T310" s="1"/>
      <c r="U310" s="1"/>
      <c r="V310" s="13"/>
      <c r="W310" s="1"/>
      <c r="Y310" s="4"/>
      <c r="Z310">
        <v>3</v>
      </c>
      <c r="AA310">
        <v>3</v>
      </c>
      <c r="AB310">
        <v>1</v>
      </c>
      <c r="AC310" s="2">
        <v>2</v>
      </c>
      <c r="AD310" s="19"/>
      <c r="AE310" s="2">
        <v>2</v>
      </c>
      <c r="AF310" s="2">
        <v>3</v>
      </c>
      <c r="AH310" s="5"/>
      <c r="AI310" s="10"/>
      <c r="AJ310" s="35"/>
      <c r="AK310" s="2">
        <v>1</v>
      </c>
      <c r="AL310" s="3">
        <v>100</v>
      </c>
      <c r="AM310" s="26"/>
      <c r="AN310" s="29"/>
      <c r="AO310" s="39"/>
      <c r="AP310" s="28"/>
      <c r="AQ310" s="2">
        <v>106.5</v>
      </c>
      <c r="AR310" s="29">
        <v>0.01</v>
      </c>
      <c r="AS310" s="28">
        <v>3294</v>
      </c>
      <c r="AT310" s="13">
        <v>1</v>
      </c>
      <c r="AU310" s="29">
        <v>1.3</v>
      </c>
      <c r="AV310" s="2">
        <v>4</v>
      </c>
      <c r="AW310" s="2">
        <v>4</v>
      </c>
    </row>
    <row r="311" spans="1:49" x14ac:dyDescent="0.2">
      <c r="A311" s="3">
        <v>196</v>
      </c>
      <c r="B311" t="s">
        <v>25</v>
      </c>
      <c r="C311" s="2">
        <v>55.3</v>
      </c>
      <c r="D311" s="4">
        <v>2</v>
      </c>
      <c r="E311" s="4">
        <v>2</v>
      </c>
      <c r="F311" s="5">
        <v>1</v>
      </c>
      <c r="G311" s="5">
        <v>24</v>
      </c>
      <c r="H311">
        <v>1</v>
      </c>
      <c r="I311" t="s">
        <v>26</v>
      </c>
      <c r="J311" s="2">
        <v>1</v>
      </c>
      <c r="K311">
        <v>1</v>
      </c>
      <c r="M311" s="2">
        <v>1</v>
      </c>
      <c r="N311">
        <v>1</v>
      </c>
      <c r="O311">
        <v>2</v>
      </c>
      <c r="P311">
        <v>2</v>
      </c>
      <c r="Q311">
        <v>2</v>
      </c>
      <c r="R311">
        <v>2</v>
      </c>
      <c r="T311" s="1"/>
      <c r="U311" s="1"/>
      <c r="V311" s="13"/>
      <c r="W311" s="1"/>
      <c r="Y311" s="4">
        <v>2</v>
      </c>
      <c r="Z311">
        <v>1</v>
      </c>
      <c r="AA311">
        <v>3</v>
      </c>
      <c r="AB311">
        <v>1</v>
      </c>
      <c r="AC311" s="2">
        <v>1</v>
      </c>
      <c r="AD311" s="19"/>
      <c r="AE311" s="2">
        <v>1</v>
      </c>
      <c r="AF311" s="2">
        <v>1</v>
      </c>
      <c r="AH311" s="5"/>
      <c r="AI311" s="4"/>
      <c r="AJ311" s="35"/>
      <c r="AK311" s="2">
        <v>0</v>
      </c>
      <c r="AL311" s="1"/>
      <c r="AM311" s="26"/>
      <c r="AN311" s="29"/>
      <c r="AO311" s="39"/>
      <c r="AP311" s="28"/>
      <c r="AQ311" s="2">
        <v>229</v>
      </c>
      <c r="AR311" s="29">
        <v>2.06</v>
      </c>
      <c r="AS311" s="34">
        <v>0.05</v>
      </c>
      <c r="AT311" s="13">
        <v>1</v>
      </c>
      <c r="AU311" s="29">
        <v>1.3</v>
      </c>
      <c r="AV311" s="2">
        <v>1</v>
      </c>
      <c r="AW311" s="2">
        <v>1</v>
      </c>
    </row>
    <row r="312" spans="1:49" x14ac:dyDescent="0.2">
      <c r="A312" s="3">
        <v>257</v>
      </c>
      <c r="B312" t="s">
        <v>25</v>
      </c>
      <c r="C312" s="2">
        <v>39.799999999999997</v>
      </c>
      <c r="D312" s="4">
        <v>2</v>
      </c>
      <c r="E312" s="4">
        <v>2</v>
      </c>
      <c r="F312" s="5">
        <v>1</v>
      </c>
      <c r="G312" s="5">
        <v>24.1</v>
      </c>
      <c r="H312">
        <v>1</v>
      </c>
      <c r="I312" t="s">
        <v>26</v>
      </c>
      <c r="J312" s="2">
        <v>1</v>
      </c>
      <c r="M312" s="2">
        <v>2</v>
      </c>
      <c r="N312">
        <v>1</v>
      </c>
      <c r="O312">
        <v>1</v>
      </c>
      <c r="P312">
        <v>2</v>
      </c>
      <c r="Q312">
        <v>2</v>
      </c>
      <c r="R312">
        <v>2</v>
      </c>
      <c r="S312">
        <v>2</v>
      </c>
      <c r="T312" s="1"/>
      <c r="U312" s="1"/>
      <c r="V312" s="13"/>
      <c r="W312" s="1"/>
      <c r="Y312" s="4">
        <v>1</v>
      </c>
      <c r="Z312">
        <v>1</v>
      </c>
      <c r="AA312">
        <v>0</v>
      </c>
      <c r="AB312">
        <v>1</v>
      </c>
      <c r="AC312" s="2">
        <v>1</v>
      </c>
      <c r="AD312" s="19"/>
      <c r="AE312" s="2">
        <v>1</v>
      </c>
      <c r="AF312" s="2">
        <v>2</v>
      </c>
      <c r="AH312" s="9"/>
      <c r="AI312" s="10"/>
      <c r="AJ312" s="35"/>
      <c r="AK312" s="2">
        <v>0</v>
      </c>
      <c r="AL312" s="1"/>
      <c r="AM312" s="26"/>
      <c r="AN312" s="29"/>
      <c r="AO312" s="39"/>
      <c r="AP312" s="28"/>
      <c r="AQ312" s="2">
        <v>193.2</v>
      </c>
      <c r="AR312" s="29">
        <v>2.12</v>
      </c>
      <c r="AS312" s="28">
        <v>0.25</v>
      </c>
      <c r="AT312" s="13">
        <v>1</v>
      </c>
      <c r="AU312" s="29">
        <v>1.3</v>
      </c>
      <c r="AV312" s="2">
        <v>2</v>
      </c>
      <c r="AW312" s="2">
        <v>1</v>
      </c>
    </row>
    <row r="313" spans="1:49" x14ac:dyDescent="0.2">
      <c r="A313" s="3">
        <v>273</v>
      </c>
      <c r="B313" t="s">
        <v>25</v>
      </c>
      <c r="C313" s="2">
        <v>36</v>
      </c>
      <c r="D313" s="4">
        <v>2</v>
      </c>
      <c r="E313" s="4">
        <v>2</v>
      </c>
      <c r="F313" s="5">
        <v>1</v>
      </c>
      <c r="G313" s="5">
        <v>25.1</v>
      </c>
      <c r="H313">
        <v>1</v>
      </c>
      <c r="I313" t="s">
        <v>26</v>
      </c>
      <c r="J313" s="2">
        <v>1</v>
      </c>
      <c r="K313">
        <v>1</v>
      </c>
      <c r="M313" s="2">
        <v>0.2</v>
      </c>
      <c r="N313">
        <v>1</v>
      </c>
      <c r="O313">
        <v>2</v>
      </c>
      <c r="P313">
        <v>2</v>
      </c>
      <c r="Q313">
        <v>2</v>
      </c>
      <c r="R313">
        <v>2</v>
      </c>
      <c r="S313">
        <v>2</v>
      </c>
      <c r="T313" s="1"/>
      <c r="U313" s="1"/>
      <c r="V313" s="13"/>
      <c r="W313" s="1"/>
      <c r="Y313" s="4">
        <v>2</v>
      </c>
      <c r="Z313">
        <v>1</v>
      </c>
      <c r="AA313">
        <v>0</v>
      </c>
      <c r="AB313">
        <v>1</v>
      </c>
      <c r="AC313" s="2">
        <v>1</v>
      </c>
      <c r="AD313" s="19"/>
      <c r="AE313" s="2">
        <v>1</v>
      </c>
      <c r="AF313" s="2">
        <v>1</v>
      </c>
      <c r="AH313" s="9"/>
      <c r="AI313" s="10"/>
      <c r="AJ313" s="35"/>
      <c r="AK313" s="2">
        <v>0</v>
      </c>
      <c r="AL313" s="1"/>
      <c r="AM313" s="26"/>
      <c r="AN313" s="29"/>
      <c r="AO313" s="39"/>
      <c r="AP313" s="28"/>
      <c r="AQ313" s="2">
        <v>158</v>
      </c>
      <c r="AR313" s="29">
        <v>1.1399999999999999</v>
      </c>
      <c r="AS313" s="28">
        <v>4.3</v>
      </c>
      <c r="AT313" s="13">
        <v>1</v>
      </c>
      <c r="AU313" s="29">
        <v>1.3</v>
      </c>
      <c r="AV313" s="2">
        <v>2</v>
      </c>
      <c r="AW313" s="2">
        <v>2</v>
      </c>
    </row>
    <row r="314" spans="1:49" x14ac:dyDescent="0.2">
      <c r="A314" s="3">
        <v>320</v>
      </c>
      <c r="B314" t="s">
        <v>25</v>
      </c>
      <c r="C314" s="2">
        <v>36.1</v>
      </c>
      <c r="D314" s="6">
        <v>2</v>
      </c>
      <c r="E314" s="6">
        <v>1</v>
      </c>
      <c r="F314" s="7">
        <v>1</v>
      </c>
      <c r="G314" s="7">
        <v>24.1</v>
      </c>
      <c r="H314">
        <v>1</v>
      </c>
      <c r="I314" t="s">
        <v>26</v>
      </c>
      <c r="J314" s="2">
        <v>1</v>
      </c>
      <c r="K314">
        <v>1</v>
      </c>
      <c r="M314" s="2">
        <v>1.3</v>
      </c>
      <c r="N314">
        <v>2</v>
      </c>
      <c r="O314">
        <v>2</v>
      </c>
      <c r="P314">
        <v>2</v>
      </c>
      <c r="T314" s="1"/>
      <c r="U314" s="1"/>
      <c r="V314" s="14"/>
      <c r="W314" s="1"/>
      <c r="Y314" s="6">
        <v>2</v>
      </c>
      <c r="Z314">
        <v>1</v>
      </c>
      <c r="AA314">
        <v>3</v>
      </c>
      <c r="AB314">
        <v>1</v>
      </c>
      <c r="AC314" s="2">
        <v>1</v>
      </c>
      <c r="AD314" s="19"/>
      <c r="AE314" s="2">
        <v>2</v>
      </c>
      <c r="AF314" s="2">
        <v>2</v>
      </c>
      <c r="AG314" s="22"/>
      <c r="AH314" s="23"/>
      <c r="AI314" s="19"/>
      <c r="AJ314" s="36"/>
      <c r="AK314" s="2">
        <v>1</v>
      </c>
      <c r="AL314" s="3">
        <v>100</v>
      </c>
      <c r="AM314" s="26"/>
      <c r="AN314" s="31"/>
      <c r="AO314" s="41"/>
      <c r="AP314" s="31"/>
      <c r="AQ314" s="2">
        <v>249</v>
      </c>
      <c r="AR314" s="32">
        <v>0.15</v>
      </c>
      <c r="AS314" s="31">
        <v>0.14000000000000001</v>
      </c>
      <c r="AT314" s="14">
        <v>1</v>
      </c>
      <c r="AU314" s="29">
        <v>1.3</v>
      </c>
      <c r="AV314" s="2">
        <v>2</v>
      </c>
      <c r="AW314" s="2">
        <v>2</v>
      </c>
    </row>
    <row r="315" spans="1:49" x14ac:dyDescent="0.2">
      <c r="A315" s="3">
        <v>77</v>
      </c>
      <c r="B315" t="s">
        <v>25</v>
      </c>
      <c r="C315" s="2">
        <v>44.7</v>
      </c>
      <c r="D315" s="6">
        <v>2</v>
      </c>
      <c r="E315" s="6">
        <v>2</v>
      </c>
      <c r="F315" s="7"/>
      <c r="G315" s="7">
        <v>20</v>
      </c>
      <c r="H315">
        <v>2</v>
      </c>
      <c r="I315" t="s">
        <v>26</v>
      </c>
      <c r="J315" s="2">
        <v>1</v>
      </c>
      <c r="K315">
        <v>1</v>
      </c>
      <c r="M315" s="1"/>
      <c r="N315">
        <v>1</v>
      </c>
      <c r="O315">
        <v>1</v>
      </c>
      <c r="P315">
        <v>1</v>
      </c>
      <c r="Q315">
        <v>1</v>
      </c>
      <c r="R315">
        <v>2</v>
      </c>
      <c r="S315">
        <v>1</v>
      </c>
      <c r="T315" s="3">
        <v>17</v>
      </c>
      <c r="U315" s="3">
        <v>12</v>
      </c>
      <c r="V315" s="14">
        <v>70.59</v>
      </c>
      <c r="W315" s="2">
        <v>3.1</v>
      </c>
      <c r="X315">
        <v>2</v>
      </c>
      <c r="Y315" s="6">
        <v>1</v>
      </c>
      <c r="Z315">
        <v>0</v>
      </c>
      <c r="AA315">
        <v>1</v>
      </c>
      <c r="AB315">
        <v>1</v>
      </c>
      <c r="AC315" s="2">
        <v>1</v>
      </c>
      <c r="AD315" s="19"/>
      <c r="AE315" s="2">
        <v>3</v>
      </c>
      <c r="AF315" s="2">
        <v>4</v>
      </c>
      <c r="AG315" s="22"/>
      <c r="AH315" s="23"/>
      <c r="AI315" s="19"/>
      <c r="AJ315" s="36"/>
      <c r="AK315" s="2">
        <v>1</v>
      </c>
      <c r="AL315" s="3">
        <v>150</v>
      </c>
      <c r="AM315" s="26"/>
      <c r="AN315" s="32"/>
      <c r="AO315" s="41"/>
      <c r="AP315" s="31"/>
      <c r="AQ315" s="2">
        <v>235.3</v>
      </c>
      <c r="AR315" s="32">
        <v>0.41</v>
      </c>
      <c r="AS315" s="31">
        <v>0.78</v>
      </c>
      <c r="AT315" s="14">
        <v>2</v>
      </c>
      <c r="AU315" s="32">
        <v>4.8</v>
      </c>
      <c r="AV315" s="2">
        <v>4</v>
      </c>
      <c r="AW315" s="2">
        <v>4</v>
      </c>
    </row>
    <row r="316" spans="1:49" x14ac:dyDescent="0.2">
      <c r="A316" s="3">
        <v>382</v>
      </c>
      <c r="B316" t="s">
        <v>25</v>
      </c>
      <c r="C316" s="2">
        <v>49.5</v>
      </c>
      <c r="D316" s="6">
        <v>2</v>
      </c>
      <c r="E316" s="6">
        <v>2</v>
      </c>
      <c r="F316" s="7">
        <v>2</v>
      </c>
      <c r="G316" s="7"/>
      <c r="H316">
        <v>1</v>
      </c>
      <c r="I316" t="s">
        <v>26</v>
      </c>
      <c r="J316" s="2">
        <v>1</v>
      </c>
      <c r="M316" s="2">
        <v>1.8</v>
      </c>
      <c r="N316">
        <v>2</v>
      </c>
      <c r="O316">
        <v>2</v>
      </c>
      <c r="P316">
        <v>2</v>
      </c>
      <c r="T316" s="1"/>
      <c r="U316" s="1"/>
      <c r="V316" s="14"/>
      <c r="W316" s="1"/>
      <c r="Y316" s="6"/>
      <c r="Z316">
        <v>1</v>
      </c>
      <c r="AA316">
        <v>3</v>
      </c>
      <c r="AB316">
        <v>1</v>
      </c>
      <c r="AC316" s="2">
        <v>1</v>
      </c>
      <c r="AD316" s="19"/>
      <c r="AE316" s="2">
        <v>2</v>
      </c>
      <c r="AF316" s="2">
        <v>2</v>
      </c>
      <c r="AG316" s="22"/>
      <c r="AH316" s="7"/>
      <c r="AI316" s="19"/>
      <c r="AJ316" s="22"/>
      <c r="AK316" s="2">
        <v>0</v>
      </c>
      <c r="AL316" s="3">
        <v>30</v>
      </c>
      <c r="AM316" s="26"/>
      <c r="AN316" s="32"/>
      <c r="AO316" s="41"/>
      <c r="AP316" s="32"/>
      <c r="AQ316" s="2">
        <v>303</v>
      </c>
      <c r="AR316" s="32">
        <v>1.88</v>
      </c>
      <c r="AS316" s="31">
        <f>0.1/2</f>
        <v>0.05</v>
      </c>
      <c r="AT316" s="14">
        <v>1</v>
      </c>
      <c r="AU316" s="29">
        <v>1.3</v>
      </c>
      <c r="AV316" s="2">
        <v>1</v>
      </c>
      <c r="AW316" s="2">
        <v>1</v>
      </c>
    </row>
    <row r="317" spans="1:49" x14ac:dyDescent="0.2">
      <c r="A317" s="3">
        <v>455</v>
      </c>
      <c r="B317" t="s">
        <v>25</v>
      </c>
      <c r="C317" s="2">
        <v>43.6</v>
      </c>
      <c r="D317" s="10"/>
      <c r="E317" s="10"/>
      <c r="F317" s="5"/>
      <c r="G317" s="5"/>
      <c r="H317">
        <v>2</v>
      </c>
      <c r="I317" t="s">
        <v>28</v>
      </c>
      <c r="J317" s="2">
        <v>1</v>
      </c>
      <c r="K317">
        <v>6</v>
      </c>
      <c r="M317" s="2">
        <v>2.1</v>
      </c>
      <c r="N317">
        <v>2</v>
      </c>
      <c r="O317">
        <v>2</v>
      </c>
      <c r="P317">
        <v>2</v>
      </c>
      <c r="Q317">
        <v>1</v>
      </c>
      <c r="R317">
        <v>2</v>
      </c>
      <c r="S317">
        <v>1</v>
      </c>
      <c r="T317" s="3">
        <v>4</v>
      </c>
      <c r="U317" s="3">
        <v>1</v>
      </c>
      <c r="V317" s="13">
        <v>25</v>
      </c>
      <c r="W317" s="2">
        <v>0.4</v>
      </c>
      <c r="Y317" s="4">
        <v>2</v>
      </c>
      <c r="Z317">
        <v>2</v>
      </c>
      <c r="AA317">
        <v>1</v>
      </c>
      <c r="AB317">
        <v>1</v>
      </c>
      <c r="AC317" s="2">
        <v>1</v>
      </c>
      <c r="AD317" s="6">
        <v>0</v>
      </c>
      <c r="AE317" s="2">
        <v>2</v>
      </c>
      <c r="AF317" s="2">
        <v>3</v>
      </c>
      <c r="AH317" s="9"/>
      <c r="AI317" s="10"/>
      <c r="AJ317" s="35"/>
      <c r="AK317" s="2">
        <v>0</v>
      </c>
      <c r="AL317" s="1"/>
      <c r="AM317" s="26"/>
      <c r="AN317" s="29"/>
      <c r="AO317" s="39"/>
      <c r="AP317" s="28"/>
      <c r="AQ317" s="2">
        <v>6.6</v>
      </c>
      <c r="AR317" s="29">
        <v>5.4</v>
      </c>
      <c r="AS317" s="28">
        <v>0.1</v>
      </c>
      <c r="AT317" s="13">
        <v>1</v>
      </c>
      <c r="AU317" s="29">
        <v>12</v>
      </c>
      <c r="AV317" s="2">
        <v>1</v>
      </c>
      <c r="AW317" s="2">
        <v>1</v>
      </c>
    </row>
    <row r="318" spans="1:49" x14ac:dyDescent="0.2">
      <c r="A318" s="3">
        <v>467</v>
      </c>
      <c r="B318" t="s">
        <v>25</v>
      </c>
      <c r="C318" s="2">
        <v>23.8</v>
      </c>
      <c r="D318" s="4">
        <v>2</v>
      </c>
      <c r="E318" s="4">
        <v>2</v>
      </c>
      <c r="F318" s="5">
        <v>1</v>
      </c>
      <c r="G318" s="5">
        <v>33.5</v>
      </c>
      <c r="H318">
        <v>1</v>
      </c>
      <c r="I318" t="s">
        <v>26</v>
      </c>
      <c r="J318" s="2">
        <v>2</v>
      </c>
      <c r="M318" s="2">
        <v>3.5</v>
      </c>
      <c r="N318">
        <v>1</v>
      </c>
      <c r="O318">
        <v>2</v>
      </c>
      <c r="P318">
        <v>2</v>
      </c>
      <c r="Q318">
        <v>2</v>
      </c>
      <c r="S318">
        <v>2</v>
      </c>
      <c r="T318" s="1"/>
      <c r="U318" s="1"/>
      <c r="V318" s="13"/>
      <c r="W318" s="1"/>
      <c r="Y318" s="4"/>
      <c r="Z318">
        <v>2</v>
      </c>
      <c r="AA318">
        <v>0</v>
      </c>
      <c r="AB318">
        <v>1</v>
      </c>
      <c r="AC318" s="2">
        <v>1</v>
      </c>
      <c r="AD318" s="19"/>
      <c r="AE318" s="2">
        <v>1</v>
      </c>
      <c r="AF318" s="2">
        <v>1</v>
      </c>
      <c r="AH318" s="5"/>
      <c r="AI318" s="10"/>
      <c r="AK318" s="2">
        <v>1</v>
      </c>
      <c r="AL318" s="1"/>
      <c r="AM318" s="26"/>
      <c r="AN318" s="29"/>
      <c r="AO318" s="39"/>
      <c r="AP318" s="28"/>
      <c r="AQ318" s="2">
        <v>573.20000000000005</v>
      </c>
      <c r="AR318" s="29">
        <v>5.64</v>
      </c>
      <c r="AS318" s="34">
        <v>0.1</v>
      </c>
      <c r="AT318" s="13">
        <v>1</v>
      </c>
      <c r="AU318" s="29">
        <v>1.3</v>
      </c>
      <c r="AV318" s="2">
        <v>1</v>
      </c>
      <c r="AW318" s="2">
        <v>1</v>
      </c>
    </row>
    <row r="319" spans="1:49" x14ac:dyDescent="0.2">
      <c r="A319" s="3">
        <v>219</v>
      </c>
      <c r="B319" t="s">
        <v>25</v>
      </c>
      <c r="C319" s="2">
        <v>63.3</v>
      </c>
      <c r="D319" s="4">
        <v>2</v>
      </c>
      <c r="E319" s="4">
        <v>2</v>
      </c>
      <c r="F319" s="5"/>
      <c r="G319" s="5"/>
      <c r="H319">
        <v>2</v>
      </c>
      <c r="I319" t="s">
        <v>28</v>
      </c>
      <c r="J319" s="2">
        <v>1</v>
      </c>
      <c r="K319">
        <v>1</v>
      </c>
      <c r="M319" s="2">
        <v>7.4</v>
      </c>
      <c r="N319">
        <v>2</v>
      </c>
      <c r="O319">
        <v>1</v>
      </c>
      <c r="P319">
        <v>1</v>
      </c>
      <c r="Q319">
        <v>1</v>
      </c>
      <c r="R319">
        <v>2</v>
      </c>
      <c r="S319">
        <v>1</v>
      </c>
      <c r="T319" s="3">
        <v>16</v>
      </c>
      <c r="U319" s="3">
        <v>6</v>
      </c>
      <c r="V319" s="15">
        <v>37.5</v>
      </c>
      <c r="W319" s="2">
        <v>1.8</v>
      </c>
      <c r="X319">
        <v>2</v>
      </c>
      <c r="Y319" s="4">
        <v>1</v>
      </c>
      <c r="Z319">
        <v>3</v>
      </c>
      <c r="AA319">
        <v>1</v>
      </c>
      <c r="AB319">
        <v>1</v>
      </c>
      <c r="AC319" s="2">
        <v>2</v>
      </c>
      <c r="AD319" s="19"/>
      <c r="AE319" s="2">
        <v>2</v>
      </c>
      <c r="AF319" s="2">
        <v>4</v>
      </c>
      <c r="AH319" s="9"/>
      <c r="AI319" s="10"/>
      <c r="AJ319" s="35"/>
      <c r="AK319" s="2">
        <v>1</v>
      </c>
      <c r="AL319" s="3">
        <v>150</v>
      </c>
      <c r="AM319" s="26"/>
      <c r="AN319" s="29"/>
      <c r="AO319" s="39"/>
      <c r="AP319" s="28"/>
      <c r="AQ319" s="2">
        <v>61.9</v>
      </c>
      <c r="AR319" s="29">
        <v>57</v>
      </c>
      <c r="AS319" s="28"/>
      <c r="AT319" s="13">
        <v>2</v>
      </c>
      <c r="AU319" s="29">
        <v>178</v>
      </c>
      <c r="AV319" s="2">
        <v>4</v>
      </c>
      <c r="AW319" s="2">
        <v>4</v>
      </c>
    </row>
    <row r="320" spans="1:49" x14ac:dyDescent="0.2">
      <c r="A320" s="3">
        <v>9</v>
      </c>
      <c r="B320" t="s">
        <v>25</v>
      </c>
      <c r="C320" s="2">
        <v>30</v>
      </c>
      <c r="D320" s="4">
        <v>2</v>
      </c>
      <c r="E320" s="4">
        <v>2</v>
      </c>
      <c r="F320" s="5"/>
      <c r="G320" s="5"/>
      <c r="H320">
        <v>1</v>
      </c>
      <c r="I320" t="s">
        <v>26</v>
      </c>
      <c r="J320" s="2">
        <v>1</v>
      </c>
      <c r="K320">
        <v>3</v>
      </c>
      <c r="M320" s="2">
        <v>1.4</v>
      </c>
      <c r="N320">
        <v>1</v>
      </c>
      <c r="O320">
        <v>1</v>
      </c>
      <c r="P320">
        <v>1</v>
      </c>
      <c r="Q320">
        <v>2</v>
      </c>
      <c r="R320">
        <v>2</v>
      </c>
      <c r="T320" s="1"/>
      <c r="U320" s="1"/>
      <c r="V320" s="13"/>
      <c r="W320" s="1"/>
      <c r="Y320" s="4">
        <v>2</v>
      </c>
      <c r="Z320">
        <v>1</v>
      </c>
      <c r="AA320">
        <v>3</v>
      </c>
      <c r="AB320">
        <v>1</v>
      </c>
      <c r="AC320" s="2">
        <v>1</v>
      </c>
      <c r="AD320" s="19"/>
      <c r="AE320" s="2">
        <v>1</v>
      </c>
      <c r="AF320" s="2">
        <v>3</v>
      </c>
      <c r="AH320" s="9"/>
      <c r="AI320" s="4"/>
      <c r="AJ320" s="35"/>
      <c r="AK320" s="2">
        <v>1</v>
      </c>
      <c r="AL320" s="3">
        <v>150</v>
      </c>
      <c r="AM320" s="26"/>
      <c r="AN320" s="28"/>
      <c r="AO320" s="39"/>
      <c r="AP320" s="28"/>
      <c r="AQ320" s="2">
        <v>72.900000000000006</v>
      </c>
      <c r="AR320" s="29">
        <v>1.72</v>
      </c>
      <c r="AS320" s="28">
        <v>0.1</v>
      </c>
      <c r="AT320" s="13">
        <v>1</v>
      </c>
      <c r="AU320" s="29">
        <v>20</v>
      </c>
      <c r="AV320" s="2">
        <v>1</v>
      </c>
      <c r="AW320" s="2">
        <v>1</v>
      </c>
    </row>
    <row r="321" spans="1:49" x14ac:dyDescent="0.2">
      <c r="A321" s="3">
        <v>16</v>
      </c>
      <c r="B321" t="s">
        <v>25</v>
      </c>
      <c r="C321" s="2">
        <v>39.6</v>
      </c>
      <c r="D321" s="4">
        <v>2</v>
      </c>
      <c r="E321" s="4">
        <v>2</v>
      </c>
      <c r="F321" s="5">
        <v>1</v>
      </c>
      <c r="G321" s="5">
        <v>22.7</v>
      </c>
      <c r="H321">
        <v>2</v>
      </c>
      <c r="I321" t="s">
        <v>26</v>
      </c>
      <c r="J321" s="2">
        <v>1</v>
      </c>
      <c r="K321">
        <v>1</v>
      </c>
      <c r="M321" s="2">
        <v>4.7</v>
      </c>
      <c r="N321">
        <v>1</v>
      </c>
      <c r="O321">
        <v>2</v>
      </c>
      <c r="P321">
        <v>2</v>
      </c>
      <c r="Q321">
        <v>2</v>
      </c>
      <c r="R321">
        <v>2</v>
      </c>
      <c r="S321">
        <v>1</v>
      </c>
      <c r="T321" s="3">
        <v>4</v>
      </c>
      <c r="U321" s="3">
        <v>2</v>
      </c>
      <c r="V321" s="13">
        <v>50</v>
      </c>
      <c r="W321" s="2">
        <v>0.9</v>
      </c>
      <c r="X321">
        <v>2</v>
      </c>
      <c r="Y321" s="4">
        <v>1</v>
      </c>
      <c r="Z321">
        <v>3</v>
      </c>
      <c r="AA321">
        <v>1</v>
      </c>
      <c r="AB321">
        <v>1</v>
      </c>
      <c r="AC321" s="2">
        <v>1</v>
      </c>
      <c r="AD321" s="19"/>
      <c r="AE321" s="2">
        <v>2</v>
      </c>
      <c r="AF321" s="2">
        <v>3</v>
      </c>
      <c r="AH321" s="9"/>
      <c r="AI321" s="10"/>
      <c r="AJ321" s="35"/>
      <c r="AK321" s="2">
        <v>1</v>
      </c>
      <c r="AL321" s="3">
        <v>150</v>
      </c>
      <c r="AM321" s="26"/>
      <c r="AN321" s="29"/>
      <c r="AO321" s="39"/>
      <c r="AP321" s="28"/>
      <c r="AQ321" s="2">
        <v>190.5</v>
      </c>
      <c r="AR321" s="29">
        <v>0.19</v>
      </c>
      <c r="AS321" s="28">
        <v>0.45</v>
      </c>
      <c r="AT321" s="13">
        <v>1</v>
      </c>
      <c r="AU321" s="29">
        <v>20</v>
      </c>
      <c r="AV321" s="2">
        <v>1</v>
      </c>
      <c r="AW321" s="2">
        <v>1</v>
      </c>
    </row>
    <row r="322" spans="1:49" x14ac:dyDescent="0.2">
      <c r="A322" s="3">
        <v>72</v>
      </c>
      <c r="B322" t="s">
        <v>25</v>
      </c>
      <c r="C322" s="2">
        <v>44.6</v>
      </c>
      <c r="D322" s="4">
        <v>2</v>
      </c>
      <c r="E322" s="4">
        <v>2</v>
      </c>
      <c r="F322" s="5">
        <v>1</v>
      </c>
      <c r="G322" s="5">
        <v>35.799999999999997</v>
      </c>
      <c r="H322">
        <v>1</v>
      </c>
      <c r="I322" t="s">
        <v>26</v>
      </c>
      <c r="J322" s="2">
        <v>1</v>
      </c>
      <c r="K322">
        <v>3</v>
      </c>
      <c r="M322" s="2">
        <v>6</v>
      </c>
      <c r="N322">
        <v>1</v>
      </c>
      <c r="O322">
        <v>2</v>
      </c>
      <c r="P322">
        <v>2</v>
      </c>
      <c r="T322" s="1"/>
      <c r="U322" s="1"/>
      <c r="V322" s="13"/>
      <c r="W322" s="1"/>
      <c r="Y322" s="4">
        <v>2</v>
      </c>
      <c r="Z322">
        <v>3</v>
      </c>
      <c r="AA322">
        <v>3</v>
      </c>
      <c r="AB322">
        <v>1</v>
      </c>
      <c r="AC322" s="2">
        <v>1</v>
      </c>
      <c r="AD322" s="19"/>
      <c r="AE322" s="2">
        <v>1</v>
      </c>
      <c r="AF322" s="2">
        <v>2</v>
      </c>
      <c r="AH322" s="9"/>
      <c r="AI322" s="10"/>
      <c r="AJ322" s="35"/>
      <c r="AK322" s="2">
        <v>1</v>
      </c>
      <c r="AL322" s="3">
        <v>100</v>
      </c>
      <c r="AM322" s="26"/>
      <c r="AN322" s="29"/>
      <c r="AO322" s="39"/>
      <c r="AP322" s="28"/>
      <c r="AQ322" s="2">
        <v>201.6</v>
      </c>
      <c r="AR322" s="29">
        <v>4.29</v>
      </c>
      <c r="AS322" s="34">
        <f>0.1/2</f>
        <v>0.05</v>
      </c>
      <c r="AT322" s="13">
        <v>1</v>
      </c>
      <c r="AU322" s="29">
        <v>20</v>
      </c>
      <c r="AV322" s="2">
        <v>1</v>
      </c>
      <c r="AW322" s="2">
        <v>1</v>
      </c>
    </row>
    <row r="323" spans="1:49" x14ac:dyDescent="0.2">
      <c r="A323" s="3">
        <v>100</v>
      </c>
      <c r="B323" t="s">
        <v>25</v>
      </c>
      <c r="C323" s="2">
        <v>45.3</v>
      </c>
      <c r="D323" s="4">
        <v>2</v>
      </c>
      <c r="E323" s="4">
        <v>2</v>
      </c>
      <c r="F323" s="5">
        <v>1</v>
      </c>
      <c r="G323" s="5">
        <v>37.799999999999997</v>
      </c>
      <c r="H323">
        <v>1</v>
      </c>
      <c r="I323" t="s">
        <v>26</v>
      </c>
      <c r="J323" s="2">
        <v>1</v>
      </c>
      <c r="K323">
        <v>1</v>
      </c>
      <c r="M323" s="2">
        <v>1.8</v>
      </c>
      <c r="N323">
        <v>2</v>
      </c>
      <c r="O323">
        <v>2</v>
      </c>
      <c r="P323">
        <v>2</v>
      </c>
      <c r="Q323">
        <v>1</v>
      </c>
      <c r="R323">
        <v>2</v>
      </c>
      <c r="S323">
        <v>2</v>
      </c>
      <c r="T323" s="1"/>
      <c r="U323" s="1"/>
      <c r="V323" s="13"/>
      <c r="W323" s="1"/>
      <c r="Y323" s="4">
        <v>2</v>
      </c>
      <c r="Z323">
        <v>1</v>
      </c>
      <c r="AA323">
        <v>0</v>
      </c>
      <c r="AB323">
        <v>1</v>
      </c>
      <c r="AC323" s="2">
        <v>1</v>
      </c>
      <c r="AD323" s="19"/>
      <c r="AE323" s="2">
        <v>2</v>
      </c>
      <c r="AF323" s="2">
        <v>3</v>
      </c>
      <c r="AH323" s="5"/>
      <c r="AI323" s="10"/>
      <c r="AJ323" s="35"/>
      <c r="AK323" s="2">
        <v>0</v>
      </c>
      <c r="AL323" s="1"/>
      <c r="AM323" s="26"/>
      <c r="AN323" s="29"/>
      <c r="AO323" s="39"/>
      <c r="AP323" s="29"/>
      <c r="AQ323" s="2">
        <v>15.5</v>
      </c>
      <c r="AR323" s="32">
        <v>33</v>
      </c>
      <c r="AS323" s="28">
        <v>0.23</v>
      </c>
      <c r="AT323" s="13">
        <v>1</v>
      </c>
      <c r="AU323" s="29">
        <v>20</v>
      </c>
      <c r="AV323" s="2">
        <v>2</v>
      </c>
      <c r="AW323" s="2">
        <v>1</v>
      </c>
    </row>
    <row r="324" spans="1:49" x14ac:dyDescent="0.2">
      <c r="A324" s="3">
        <v>131</v>
      </c>
      <c r="B324" t="s">
        <v>27</v>
      </c>
      <c r="C324" s="2">
        <v>40.799999999999997</v>
      </c>
      <c r="D324" s="4">
        <v>2</v>
      </c>
      <c r="E324" s="4">
        <v>2</v>
      </c>
      <c r="F324" s="5">
        <v>1</v>
      </c>
      <c r="G324" s="5">
        <v>26.7</v>
      </c>
      <c r="H324">
        <v>1</v>
      </c>
      <c r="I324" t="s">
        <v>26</v>
      </c>
      <c r="J324" s="2">
        <v>1</v>
      </c>
      <c r="K324">
        <v>4</v>
      </c>
      <c r="M324" s="2">
        <v>0.7</v>
      </c>
      <c r="N324">
        <v>1</v>
      </c>
      <c r="O324">
        <v>2</v>
      </c>
      <c r="P324">
        <v>2</v>
      </c>
      <c r="Q324">
        <v>2</v>
      </c>
      <c r="R324">
        <v>2</v>
      </c>
      <c r="S324">
        <v>2</v>
      </c>
      <c r="T324" s="1"/>
      <c r="U324" s="1"/>
      <c r="V324" s="13"/>
      <c r="W324" s="1"/>
      <c r="Y324" s="4">
        <v>2</v>
      </c>
      <c r="Z324">
        <v>1</v>
      </c>
      <c r="AA324">
        <v>0</v>
      </c>
      <c r="AB324">
        <v>1</v>
      </c>
      <c r="AC324" s="2">
        <v>1</v>
      </c>
      <c r="AD324" s="19"/>
      <c r="AE324" s="2">
        <v>1</v>
      </c>
      <c r="AF324" s="2">
        <v>1</v>
      </c>
      <c r="AH324" s="5"/>
      <c r="AI324" s="10"/>
      <c r="AJ324" s="35"/>
      <c r="AK324" s="2">
        <v>0</v>
      </c>
      <c r="AL324" s="1"/>
      <c r="AM324" s="26"/>
      <c r="AN324" s="29"/>
      <c r="AO324" s="39"/>
      <c r="AP324" s="28"/>
      <c r="AQ324" s="2">
        <v>98.4</v>
      </c>
      <c r="AR324" s="29">
        <v>0.5</v>
      </c>
      <c r="AS324" s="28">
        <v>0.18</v>
      </c>
      <c r="AT324" s="13">
        <v>1</v>
      </c>
      <c r="AU324" s="29">
        <v>20</v>
      </c>
      <c r="AV324" s="2">
        <v>1</v>
      </c>
      <c r="AW324" s="2">
        <v>1</v>
      </c>
    </row>
    <row r="325" spans="1:49" x14ac:dyDescent="0.2">
      <c r="A325" s="3">
        <v>150</v>
      </c>
      <c r="B325" t="s">
        <v>25</v>
      </c>
      <c r="C325" s="2">
        <v>60.6</v>
      </c>
      <c r="D325" s="4">
        <v>2</v>
      </c>
      <c r="E325" s="4">
        <v>2</v>
      </c>
      <c r="F325" s="5">
        <v>1</v>
      </c>
      <c r="G325" s="5"/>
      <c r="H325">
        <v>1</v>
      </c>
      <c r="I325" t="s">
        <v>26</v>
      </c>
      <c r="J325" s="2">
        <v>1</v>
      </c>
      <c r="K325">
        <v>3</v>
      </c>
      <c r="M325" s="2">
        <v>0.9</v>
      </c>
      <c r="N325">
        <v>1</v>
      </c>
      <c r="O325">
        <v>1</v>
      </c>
      <c r="P325">
        <v>1</v>
      </c>
      <c r="Q325">
        <v>2</v>
      </c>
      <c r="R325">
        <v>2</v>
      </c>
      <c r="S325">
        <v>2</v>
      </c>
      <c r="T325" s="1"/>
      <c r="U325" s="1"/>
      <c r="V325" s="13"/>
      <c r="W325" s="1"/>
      <c r="Y325" s="4">
        <v>2</v>
      </c>
      <c r="Z325">
        <v>1</v>
      </c>
      <c r="AA325">
        <v>0</v>
      </c>
      <c r="AB325">
        <v>1</v>
      </c>
      <c r="AC325" s="2">
        <v>1</v>
      </c>
      <c r="AD325" s="19"/>
      <c r="AE325" s="2">
        <v>1</v>
      </c>
      <c r="AF325" s="2">
        <v>3</v>
      </c>
      <c r="AH325" s="9"/>
      <c r="AI325" s="10"/>
      <c r="AJ325" s="35"/>
      <c r="AK325" s="2">
        <v>0</v>
      </c>
      <c r="AL325" s="1"/>
      <c r="AM325" s="26"/>
      <c r="AN325" s="28"/>
      <c r="AO325" s="39"/>
      <c r="AP325" s="28"/>
      <c r="AQ325" s="2">
        <v>41.4</v>
      </c>
      <c r="AR325" s="29">
        <v>0.84</v>
      </c>
      <c r="AS325" s="28">
        <v>0.24</v>
      </c>
      <c r="AT325" s="13">
        <v>1</v>
      </c>
      <c r="AU325" s="29">
        <v>20</v>
      </c>
      <c r="AV325" s="2">
        <v>2</v>
      </c>
      <c r="AW325" s="2">
        <v>1</v>
      </c>
    </row>
    <row r="326" spans="1:49" x14ac:dyDescent="0.2">
      <c r="A326" s="3">
        <v>173</v>
      </c>
      <c r="B326" t="s">
        <v>25</v>
      </c>
      <c r="C326" s="2">
        <v>67.099999999999994</v>
      </c>
      <c r="D326" s="4">
        <v>1</v>
      </c>
      <c r="E326" s="4">
        <v>2</v>
      </c>
      <c r="F326" s="5"/>
      <c r="G326" s="5">
        <v>41.4</v>
      </c>
      <c r="H326">
        <v>1</v>
      </c>
      <c r="I326" t="s">
        <v>26</v>
      </c>
      <c r="J326" s="2">
        <v>1</v>
      </c>
      <c r="K326">
        <v>7</v>
      </c>
      <c r="M326" s="2">
        <v>4</v>
      </c>
      <c r="N326">
        <v>1</v>
      </c>
      <c r="O326">
        <v>2</v>
      </c>
      <c r="P326">
        <v>2</v>
      </c>
      <c r="Q326">
        <v>2</v>
      </c>
      <c r="R326">
        <v>2</v>
      </c>
      <c r="S326">
        <v>2</v>
      </c>
      <c r="T326" s="1"/>
      <c r="U326" s="1"/>
      <c r="V326" s="13"/>
      <c r="W326" s="1"/>
      <c r="Y326" s="4">
        <v>1</v>
      </c>
      <c r="Z326">
        <v>2</v>
      </c>
      <c r="AA326">
        <v>0</v>
      </c>
      <c r="AB326">
        <v>1</v>
      </c>
      <c r="AC326" s="2">
        <v>1</v>
      </c>
      <c r="AD326" s="19"/>
      <c r="AE326" s="2">
        <v>2</v>
      </c>
      <c r="AF326" s="2">
        <v>3</v>
      </c>
      <c r="AH326" s="5"/>
      <c r="AI326" s="10"/>
      <c r="AK326" s="2">
        <v>1</v>
      </c>
      <c r="AL326" s="3">
        <v>100</v>
      </c>
      <c r="AM326" s="26"/>
      <c r="AN326" s="29"/>
      <c r="AO326" s="39"/>
      <c r="AP326" s="29"/>
      <c r="AQ326" s="2">
        <v>178.3</v>
      </c>
      <c r="AR326" s="29">
        <v>0.19</v>
      </c>
      <c r="AS326" s="28">
        <v>0.85</v>
      </c>
      <c r="AT326" s="13">
        <v>1</v>
      </c>
      <c r="AU326" s="29">
        <v>20</v>
      </c>
      <c r="AV326" s="2">
        <v>2</v>
      </c>
      <c r="AW326" s="2">
        <v>2</v>
      </c>
    </row>
    <row r="327" spans="1:49" x14ac:dyDescent="0.2">
      <c r="A327" s="3">
        <v>214</v>
      </c>
      <c r="B327" t="s">
        <v>25</v>
      </c>
      <c r="C327" s="2">
        <v>25</v>
      </c>
      <c r="D327" s="4">
        <v>2</v>
      </c>
      <c r="E327" s="4">
        <v>2</v>
      </c>
      <c r="F327" s="5"/>
      <c r="G327" s="5">
        <v>23.9</v>
      </c>
      <c r="H327">
        <v>1</v>
      </c>
      <c r="I327" t="s">
        <v>26</v>
      </c>
      <c r="J327" s="2">
        <v>1</v>
      </c>
      <c r="K327">
        <v>1</v>
      </c>
      <c r="M327" s="2">
        <v>0.6</v>
      </c>
      <c r="O327">
        <v>2</v>
      </c>
      <c r="P327">
        <v>2</v>
      </c>
      <c r="S327">
        <v>2</v>
      </c>
      <c r="T327" s="1"/>
      <c r="U327" s="1"/>
      <c r="V327" s="13"/>
      <c r="W327" s="1"/>
      <c r="Y327" s="4"/>
      <c r="Z327">
        <v>1</v>
      </c>
      <c r="AA327">
        <v>0</v>
      </c>
      <c r="AB327">
        <v>1</v>
      </c>
      <c r="AC327" s="2">
        <v>1</v>
      </c>
      <c r="AD327" s="19"/>
      <c r="AE327" s="2">
        <v>1</v>
      </c>
      <c r="AF327" s="2">
        <v>2</v>
      </c>
      <c r="AH327" s="5"/>
      <c r="AI327" s="10"/>
      <c r="AJ327" s="35"/>
      <c r="AK327" s="2">
        <v>1</v>
      </c>
      <c r="AL327" s="3">
        <v>150</v>
      </c>
      <c r="AM327" s="26"/>
      <c r="AN327" s="29"/>
      <c r="AO327" s="39"/>
      <c r="AP327" s="28"/>
      <c r="AQ327" s="2">
        <v>120</v>
      </c>
      <c r="AR327" s="29">
        <v>9.07</v>
      </c>
      <c r="AS327" s="28">
        <v>0.1</v>
      </c>
      <c r="AT327" s="13">
        <v>1</v>
      </c>
      <c r="AU327" s="29">
        <v>20</v>
      </c>
      <c r="AV327" s="2">
        <v>1</v>
      </c>
      <c r="AW327" s="2">
        <v>1</v>
      </c>
    </row>
    <row r="328" spans="1:49" x14ac:dyDescent="0.2">
      <c r="A328" s="3">
        <v>225</v>
      </c>
      <c r="B328" t="s">
        <v>25</v>
      </c>
      <c r="C328" s="2">
        <v>44.6</v>
      </c>
      <c r="D328" s="4">
        <v>2</v>
      </c>
      <c r="E328" s="4">
        <v>2</v>
      </c>
      <c r="F328" s="5"/>
      <c r="G328" s="5">
        <v>26.2</v>
      </c>
      <c r="H328">
        <v>1</v>
      </c>
      <c r="I328" t="s">
        <v>26</v>
      </c>
      <c r="J328" s="2">
        <v>2</v>
      </c>
      <c r="L328">
        <v>3</v>
      </c>
      <c r="M328" s="2">
        <v>2.2999999999999998</v>
      </c>
      <c r="N328">
        <v>1</v>
      </c>
      <c r="O328">
        <v>1</v>
      </c>
      <c r="P328">
        <v>1</v>
      </c>
      <c r="Q328">
        <v>1</v>
      </c>
      <c r="T328" s="1"/>
      <c r="U328" s="1"/>
      <c r="V328" s="13"/>
      <c r="W328" s="1"/>
      <c r="Y328" s="4">
        <v>2</v>
      </c>
      <c r="Z328">
        <v>2</v>
      </c>
      <c r="AA328">
        <v>3</v>
      </c>
      <c r="AB328">
        <v>1</v>
      </c>
      <c r="AC328" s="2">
        <v>1</v>
      </c>
      <c r="AD328" s="19"/>
      <c r="AE328" s="2">
        <v>3</v>
      </c>
      <c r="AF328" s="2">
        <v>4</v>
      </c>
      <c r="AH328" s="5"/>
      <c r="AI328" s="10"/>
      <c r="AJ328" s="35"/>
      <c r="AK328" s="2">
        <v>1</v>
      </c>
      <c r="AL328" s="3">
        <v>100</v>
      </c>
      <c r="AM328" s="26"/>
      <c r="AN328" s="29"/>
      <c r="AO328" s="39"/>
      <c r="AP328" s="28"/>
      <c r="AQ328" s="2">
        <v>135.80000000000001</v>
      </c>
      <c r="AR328" s="29">
        <v>101</v>
      </c>
      <c r="AS328" s="34">
        <v>0.25</v>
      </c>
      <c r="AT328" s="13">
        <v>1</v>
      </c>
      <c r="AU328" s="29">
        <v>20</v>
      </c>
      <c r="AV328" s="2">
        <v>1</v>
      </c>
      <c r="AW328" s="2">
        <v>1</v>
      </c>
    </row>
    <row r="329" spans="1:49" x14ac:dyDescent="0.2">
      <c r="A329" s="3">
        <v>285</v>
      </c>
      <c r="B329" t="s">
        <v>25</v>
      </c>
      <c r="C329" s="2">
        <v>57.7</v>
      </c>
      <c r="D329" s="4">
        <v>2</v>
      </c>
      <c r="E329" s="4">
        <v>2</v>
      </c>
      <c r="F329" s="5"/>
      <c r="G329" s="5">
        <v>32</v>
      </c>
      <c r="H329">
        <v>1</v>
      </c>
      <c r="I329" t="s">
        <v>26</v>
      </c>
      <c r="J329" s="2">
        <v>2</v>
      </c>
      <c r="L329">
        <v>3</v>
      </c>
      <c r="M329" s="2">
        <v>5</v>
      </c>
      <c r="O329">
        <v>2</v>
      </c>
      <c r="P329">
        <v>2</v>
      </c>
      <c r="Q329">
        <v>1</v>
      </c>
      <c r="R329">
        <v>2</v>
      </c>
      <c r="S329">
        <v>2</v>
      </c>
      <c r="T329" s="1"/>
      <c r="U329" s="1"/>
      <c r="V329" s="13"/>
      <c r="W329" s="1"/>
      <c r="Y329" s="4"/>
      <c r="Z329">
        <v>3</v>
      </c>
      <c r="AA329">
        <v>0</v>
      </c>
      <c r="AB329">
        <v>2</v>
      </c>
      <c r="AC329" s="2">
        <v>4</v>
      </c>
      <c r="AD329" s="19"/>
      <c r="AE329" s="2">
        <v>3</v>
      </c>
      <c r="AF329" s="2">
        <v>4</v>
      </c>
      <c r="AH329" s="9"/>
      <c r="AI329" s="10"/>
      <c r="AJ329" s="35"/>
      <c r="AK329" s="2">
        <v>1</v>
      </c>
      <c r="AL329" s="3">
        <v>200</v>
      </c>
      <c r="AM329" s="26"/>
      <c r="AN329" s="28"/>
      <c r="AO329" s="39"/>
      <c r="AP329" s="28"/>
      <c r="AQ329" s="2">
        <v>63</v>
      </c>
      <c r="AR329" s="29">
        <v>0.11</v>
      </c>
      <c r="AS329" s="28">
        <v>300</v>
      </c>
      <c r="AT329" s="13">
        <v>1</v>
      </c>
      <c r="AU329" s="29">
        <v>20</v>
      </c>
      <c r="AV329" s="2">
        <v>4</v>
      </c>
      <c r="AW329" s="2">
        <v>4</v>
      </c>
    </row>
    <row r="330" spans="1:49" x14ac:dyDescent="0.2">
      <c r="A330" s="3">
        <v>289</v>
      </c>
      <c r="B330" t="s">
        <v>25</v>
      </c>
      <c r="C330" s="2">
        <v>65.099999999999994</v>
      </c>
      <c r="D330" s="4">
        <v>2</v>
      </c>
      <c r="E330" s="4">
        <v>2</v>
      </c>
      <c r="F330" s="5"/>
      <c r="G330" s="5"/>
      <c r="H330">
        <v>1</v>
      </c>
      <c r="I330" t="s">
        <v>26</v>
      </c>
      <c r="J330" s="2">
        <v>1</v>
      </c>
      <c r="K330">
        <v>3</v>
      </c>
      <c r="M330" s="2">
        <v>1.1000000000000001</v>
      </c>
      <c r="N330">
        <v>1</v>
      </c>
      <c r="O330">
        <v>1</v>
      </c>
      <c r="P330">
        <v>1</v>
      </c>
      <c r="Q330">
        <v>2</v>
      </c>
      <c r="R330">
        <v>2</v>
      </c>
      <c r="S330">
        <v>2</v>
      </c>
      <c r="T330" s="1"/>
      <c r="U330" s="1"/>
      <c r="V330" s="13"/>
      <c r="W330" s="1"/>
      <c r="Y330" s="4">
        <v>1</v>
      </c>
      <c r="Z330">
        <v>1</v>
      </c>
      <c r="AA330">
        <v>0</v>
      </c>
      <c r="AB330">
        <v>1</v>
      </c>
      <c r="AC330" s="2">
        <v>1</v>
      </c>
      <c r="AD330" s="19"/>
      <c r="AE330" s="2">
        <v>1</v>
      </c>
      <c r="AF330" s="2">
        <v>3</v>
      </c>
      <c r="AH330" s="5"/>
      <c r="AI330" s="10"/>
      <c r="AJ330" s="35"/>
      <c r="AK330" s="2">
        <v>1</v>
      </c>
      <c r="AL330" s="3">
        <v>150</v>
      </c>
      <c r="AM330" s="26"/>
      <c r="AN330" s="29"/>
      <c r="AO330" s="39"/>
      <c r="AP330" s="28"/>
      <c r="AQ330" s="2">
        <v>81.5</v>
      </c>
      <c r="AR330" s="29">
        <v>86.9</v>
      </c>
      <c r="AS330" s="34">
        <v>0.1</v>
      </c>
      <c r="AT330" s="13">
        <v>1</v>
      </c>
      <c r="AU330" s="29">
        <v>20</v>
      </c>
      <c r="AV330" s="2">
        <v>1</v>
      </c>
      <c r="AW330" s="2">
        <v>1</v>
      </c>
    </row>
    <row r="331" spans="1:49" x14ac:dyDescent="0.2">
      <c r="A331" s="3">
        <v>296</v>
      </c>
      <c r="B331" t="s">
        <v>25</v>
      </c>
      <c r="C331" s="2">
        <v>48</v>
      </c>
      <c r="D331" s="4">
        <v>2</v>
      </c>
      <c r="E331" s="4">
        <v>1</v>
      </c>
      <c r="F331" s="5">
        <v>3</v>
      </c>
      <c r="G331" s="5">
        <v>28.3</v>
      </c>
      <c r="H331">
        <v>1</v>
      </c>
      <c r="I331" t="s">
        <v>26</v>
      </c>
      <c r="J331" s="2">
        <v>1</v>
      </c>
      <c r="K331">
        <v>1</v>
      </c>
      <c r="M331" s="2">
        <v>0.2</v>
      </c>
      <c r="N331">
        <v>1</v>
      </c>
      <c r="O331">
        <v>2</v>
      </c>
      <c r="P331">
        <v>2</v>
      </c>
      <c r="Q331">
        <v>2</v>
      </c>
      <c r="R331">
        <v>2</v>
      </c>
      <c r="S331">
        <v>2</v>
      </c>
      <c r="T331" s="1"/>
      <c r="U331" s="1"/>
      <c r="V331" s="13"/>
      <c r="W331" s="1"/>
      <c r="Y331" s="4">
        <v>1</v>
      </c>
      <c r="Z331">
        <v>1</v>
      </c>
      <c r="AA331">
        <v>0</v>
      </c>
      <c r="AB331">
        <v>1</v>
      </c>
      <c r="AC331" s="2">
        <v>1</v>
      </c>
      <c r="AD331" s="19"/>
      <c r="AE331" s="2">
        <v>1</v>
      </c>
      <c r="AF331" s="2">
        <v>1</v>
      </c>
      <c r="AH331" s="9"/>
      <c r="AI331" s="10"/>
      <c r="AJ331" s="35"/>
      <c r="AK331" s="2">
        <v>0</v>
      </c>
      <c r="AL331" s="1"/>
      <c r="AM331" s="26"/>
      <c r="AN331" s="29"/>
      <c r="AO331" s="39"/>
      <c r="AP331" s="28"/>
      <c r="AQ331" s="2">
        <v>117.8</v>
      </c>
      <c r="AR331" s="29">
        <v>0.52</v>
      </c>
      <c r="AS331" s="28">
        <v>0.1</v>
      </c>
      <c r="AT331" s="13">
        <v>1</v>
      </c>
      <c r="AU331" s="29">
        <v>20</v>
      </c>
      <c r="AV331" s="2">
        <v>1</v>
      </c>
      <c r="AW331" s="2">
        <v>1</v>
      </c>
    </row>
    <row r="332" spans="1:49" x14ac:dyDescent="0.2">
      <c r="A332" s="3">
        <v>431</v>
      </c>
      <c r="B332" t="s">
        <v>27</v>
      </c>
      <c r="C332" s="2">
        <v>69</v>
      </c>
      <c r="D332" s="10"/>
      <c r="E332" s="4">
        <v>2</v>
      </c>
      <c r="F332" s="5"/>
      <c r="G332" s="5"/>
      <c r="H332">
        <v>2</v>
      </c>
      <c r="I332" t="s">
        <v>26</v>
      </c>
      <c r="J332" s="2">
        <v>1</v>
      </c>
      <c r="K332">
        <v>1</v>
      </c>
      <c r="M332" s="2">
        <v>4.8</v>
      </c>
      <c r="N332">
        <v>1</v>
      </c>
      <c r="O332">
        <v>1</v>
      </c>
      <c r="P332">
        <v>1</v>
      </c>
      <c r="Q332">
        <v>2</v>
      </c>
      <c r="R332">
        <v>2</v>
      </c>
      <c r="S332">
        <v>1</v>
      </c>
      <c r="T332" s="3">
        <v>1</v>
      </c>
      <c r="U332" s="3">
        <v>1</v>
      </c>
      <c r="V332" s="13">
        <v>100</v>
      </c>
      <c r="W332" s="2">
        <v>0.7</v>
      </c>
      <c r="X332">
        <v>2</v>
      </c>
      <c r="Y332" s="4">
        <v>1</v>
      </c>
      <c r="Z332">
        <v>3</v>
      </c>
      <c r="AA332">
        <v>1</v>
      </c>
      <c r="AB332">
        <v>1</v>
      </c>
      <c r="AC332" s="2">
        <v>2</v>
      </c>
      <c r="AD332" s="6">
        <v>1</v>
      </c>
      <c r="AE332" s="2">
        <v>2</v>
      </c>
      <c r="AF332" s="2">
        <v>3</v>
      </c>
      <c r="AH332" s="9"/>
      <c r="AI332" s="10"/>
      <c r="AJ332" s="35"/>
      <c r="AK332" s="2">
        <v>1</v>
      </c>
      <c r="AL332" s="3">
        <v>150</v>
      </c>
      <c r="AM332" s="26"/>
      <c r="AN332" s="28"/>
      <c r="AO332" s="39"/>
      <c r="AP332" s="28"/>
      <c r="AQ332" s="2">
        <v>19.8</v>
      </c>
      <c r="AR332" s="29">
        <v>1.1499999999999999</v>
      </c>
      <c r="AS332" s="30">
        <f>0.1/2</f>
        <v>0.05</v>
      </c>
      <c r="AT332" s="13">
        <v>1</v>
      </c>
      <c r="AU332" s="29">
        <v>0.9</v>
      </c>
      <c r="AV332" s="2">
        <v>1</v>
      </c>
      <c r="AW332" s="2">
        <v>1</v>
      </c>
    </row>
    <row r="333" spans="1:49" x14ac:dyDescent="0.2">
      <c r="A333" s="3">
        <v>335</v>
      </c>
      <c r="B333" t="s">
        <v>25</v>
      </c>
      <c r="C333" s="2">
        <v>60.8</v>
      </c>
      <c r="D333" s="4">
        <v>2</v>
      </c>
      <c r="E333" s="4">
        <v>2</v>
      </c>
      <c r="F333" s="5">
        <v>1</v>
      </c>
      <c r="G333" s="5">
        <v>22.8</v>
      </c>
      <c r="H333">
        <v>1</v>
      </c>
      <c r="I333" t="s">
        <v>26</v>
      </c>
      <c r="J333" s="2">
        <v>1</v>
      </c>
      <c r="K333">
        <v>1</v>
      </c>
      <c r="M333" s="2">
        <v>0.8</v>
      </c>
      <c r="N333">
        <v>1</v>
      </c>
      <c r="O333">
        <v>2</v>
      </c>
      <c r="P333">
        <v>2</v>
      </c>
      <c r="S333">
        <v>2</v>
      </c>
      <c r="T333" s="1"/>
      <c r="U333" s="1"/>
      <c r="V333" s="13"/>
      <c r="W333" s="1"/>
      <c r="Y333" s="4"/>
      <c r="Z333">
        <v>1</v>
      </c>
      <c r="AA333">
        <v>0</v>
      </c>
      <c r="AB333">
        <v>1</v>
      </c>
      <c r="AC333" s="2">
        <v>1</v>
      </c>
      <c r="AD333" s="19"/>
      <c r="AE333" s="2">
        <v>1</v>
      </c>
      <c r="AF333" s="2">
        <v>1</v>
      </c>
      <c r="AH333" s="5"/>
      <c r="AI333" s="10"/>
      <c r="AJ333" s="35"/>
      <c r="AK333" s="2">
        <v>1</v>
      </c>
      <c r="AL333" s="3">
        <v>100</v>
      </c>
      <c r="AM333" s="26"/>
      <c r="AN333" s="28"/>
      <c r="AO333" s="39"/>
      <c r="AP333" s="28"/>
      <c r="AQ333" s="2">
        <v>173</v>
      </c>
      <c r="AR333" s="29">
        <v>1.94</v>
      </c>
      <c r="AS333" s="30">
        <v>0.1</v>
      </c>
      <c r="AT333" s="13">
        <v>1</v>
      </c>
      <c r="AU333" s="29">
        <v>20</v>
      </c>
      <c r="AV333" s="2">
        <v>1</v>
      </c>
      <c r="AW333" s="2">
        <v>1</v>
      </c>
    </row>
    <row r="334" spans="1:49" x14ac:dyDescent="0.2">
      <c r="A334" s="3">
        <v>101</v>
      </c>
      <c r="B334" t="s">
        <v>27</v>
      </c>
      <c r="C334" s="2">
        <v>58.7</v>
      </c>
      <c r="D334" s="4">
        <v>1</v>
      </c>
      <c r="E334" s="4">
        <v>2</v>
      </c>
      <c r="F334" s="5">
        <v>1</v>
      </c>
      <c r="G334" s="5">
        <v>28.4</v>
      </c>
      <c r="H334">
        <v>1</v>
      </c>
      <c r="I334" t="s">
        <v>26</v>
      </c>
      <c r="J334" s="2">
        <v>1</v>
      </c>
      <c r="K334">
        <v>1</v>
      </c>
      <c r="M334" s="2">
        <v>0.4</v>
      </c>
      <c r="N334">
        <v>1</v>
      </c>
      <c r="O334">
        <v>2</v>
      </c>
      <c r="P334">
        <v>2</v>
      </c>
      <c r="Q334">
        <v>2</v>
      </c>
      <c r="S334">
        <v>2</v>
      </c>
      <c r="T334" s="1"/>
      <c r="U334" s="1"/>
      <c r="V334" s="13"/>
      <c r="W334" s="1"/>
      <c r="Y334" s="4">
        <v>2</v>
      </c>
      <c r="Z334">
        <v>1</v>
      </c>
      <c r="AA334">
        <v>1</v>
      </c>
      <c r="AB334">
        <v>1</v>
      </c>
      <c r="AC334" s="2">
        <v>2</v>
      </c>
      <c r="AD334" s="19"/>
      <c r="AE334" s="2">
        <v>2</v>
      </c>
      <c r="AF334" s="2">
        <v>2</v>
      </c>
      <c r="AH334" s="9"/>
      <c r="AI334" s="10"/>
      <c r="AJ334" s="35"/>
      <c r="AK334" s="2">
        <v>0</v>
      </c>
      <c r="AL334" s="1"/>
      <c r="AM334" s="26"/>
      <c r="AN334" s="28"/>
      <c r="AO334" s="39"/>
      <c r="AP334" s="28"/>
      <c r="AQ334" s="2">
        <v>180</v>
      </c>
      <c r="AR334" s="29">
        <v>0.13</v>
      </c>
      <c r="AS334" s="28">
        <v>0.1</v>
      </c>
      <c r="AT334" s="13">
        <v>1</v>
      </c>
      <c r="AU334" s="29">
        <v>1.3</v>
      </c>
      <c r="AV334" s="2">
        <v>1</v>
      </c>
      <c r="AW334" s="2">
        <v>1</v>
      </c>
    </row>
    <row r="335" spans="1:49" x14ac:dyDescent="0.2">
      <c r="A335" s="3">
        <v>343</v>
      </c>
      <c r="B335" t="s">
        <v>27</v>
      </c>
      <c r="C335" s="2">
        <v>44.9</v>
      </c>
      <c r="D335" s="4">
        <v>2</v>
      </c>
      <c r="E335" s="4">
        <v>1</v>
      </c>
      <c r="F335" s="5">
        <v>1</v>
      </c>
      <c r="G335" s="5">
        <v>33.1</v>
      </c>
      <c r="H335">
        <v>1</v>
      </c>
      <c r="I335" t="s">
        <v>28</v>
      </c>
      <c r="J335" s="2">
        <v>1</v>
      </c>
      <c r="M335" s="2">
        <v>7</v>
      </c>
      <c r="O335">
        <v>1</v>
      </c>
      <c r="P335">
        <v>1</v>
      </c>
      <c r="Q335">
        <v>1</v>
      </c>
      <c r="T335" s="1"/>
      <c r="U335" s="1"/>
      <c r="V335" s="13"/>
      <c r="W335" s="1"/>
      <c r="Y335" s="4"/>
      <c r="Z335">
        <v>3</v>
      </c>
      <c r="AA335">
        <v>3</v>
      </c>
      <c r="AB335">
        <v>1</v>
      </c>
      <c r="AC335" s="2">
        <v>1</v>
      </c>
      <c r="AD335" s="19"/>
      <c r="AE335" s="2">
        <v>2</v>
      </c>
      <c r="AF335" s="2">
        <v>3</v>
      </c>
      <c r="AH335" s="9"/>
      <c r="AI335" s="10"/>
      <c r="AJ335" s="35"/>
      <c r="AK335" s="2">
        <v>1</v>
      </c>
      <c r="AL335" s="3">
        <v>100</v>
      </c>
      <c r="AM335" s="26"/>
      <c r="AN335" s="29"/>
      <c r="AO335" s="39"/>
      <c r="AP335" s="28"/>
      <c r="AQ335" s="2">
        <v>184.8</v>
      </c>
      <c r="AR335" s="29">
        <v>2.5</v>
      </c>
      <c r="AS335" s="28">
        <v>34.9</v>
      </c>
      <c r="AT335" s="13">
        <v>1</v>
      </c>
      <c r="AU335" s="29">
        <v>20</v>
      </c>
      <c r="AV335" s="2">
        <v>4</v>
      </c>
      <c r="AW335" s="2">
        <v>4</v>
      </c>
    </row>
    <row r="336" spans="1:49" x14ac:dyDescent="0.2">
      <c r="A336" s="3">
        <v>344</v>
      </c>
      <c r="B336" t="s">
        <v>27</v>
      </c>
      <c r="C336" s="2">
        <v>43.9</v>
      </c>
      <c r="D336" s="4">
        <v>2</v>
      </c>
      <c r="E336" s="4">
        <v>2</v>
      </c>
      <c r="F336" s="5">
        <v>1</v>
      </c>
      <c r="G336" s="5">
        <v>27.4</v>
      </c>
      <c r="H336">
        <v>2</v>
      </c>
      <c r="I336" t="s">
        <v>28</v>
      </c>
      <c r="J336" s="2">
        <v>1</v>
      </c>
      <c r="K336">
        <v>4</v>
      </c>
      <c r="M336" s="2">
        <v>0.9</v>
      </c>
      <c r="N336">
        <v>2</v>
      </c>
      <c r="O336">
        <v>1</v>
      </c>
      <c r="P336">
        <v>1</v>
      </c>
      <c r="T336" s="1"/>
      <c r="U336" s="1"/>
      <c r="V336" s="13"/>
      <c r="W336" s="1"/>
      <c r="Y336" s="4">
        <v>2</v>
      </c>
      <c r="Z336">
        <v>1</v>
      </c>
      <c r="AA336">
        <v>3</v>
      </c>
      <c r="AB336">
        <v>1</v>
      </c>
      <c r="AC336" s="2">
        <v>1</v>
      </c>
      <c r="AD336" s="19"/>
      <c r="AE336" s="2">
        <v>2</v>
      </c>
      <c r="AF336" s="2">
        <v>3</v>
      </c>
      <c r="AH336" s="5"/>
      <c r="AI336" s="10"/>
      <c r="AJ336" s="35"/>
      <c r="AK336" s="2">
        <v>1</v>
      </c>
      <c r="AL336" s="3">
        <v>30</v>
      </c>
      <c r="AM336" s="26"/>
      <c r="AN336" s="28"/>
      <c r="AO336" s="39"/>
      <c r="AP336" s="28"/>
      <c r="AQ336" s="2">
        <v>146.4</v>
      </c>
      <c r="AR336" s="29">
        <v>1.08</v>
      </c>
      <c r="AS336" s="34">
        <v>0.1</v>
      </c>
      <c r="AT336" s="13">
        <v>1</v>
      </c>
      <c r="AU336" s="29">
        <v>20</v>
      </c>
      <c r="AV336" s="2">
        <v>2</v>
      </c>
      <c r="AW336" s="2">
        <v>2</v>
      </c>
    </row>
    <row r="337" spans="1:49" x14ac:dyDescent="0.2">
      <c r="A337" s="3">
        <v>355</v>
      </c>
      <c r="B337" t="s">
        <v>25</v>
      </c>
      <c r="C337" s="2">
        <v>26.4</v>
      </c>
      <c r="D337" s="6">
        <v>2</v>
      </c>
      <c r="E337" s="6">
        <v>2</v>
      </c>
      <c r="F337" s="7">
        <v>1</v>
      </c>
      <c r="G337" s="7">
        <v>41.3</v>
      </c>
      <c r="H337">
        <v>2</v>
      </c>
      <c r="I337" t="s">
        <v>26</v>
      </c>
      <c r="J337" s="2">
        <v>1</v>
      </c>
      <c r="M337" s="2">
        <v>3</v>
      </c>
      <c r="N337">
        <v>1</v>
      </c>
      <c r="O337">
        <v>2</v>
      </c>
      <c r="P337">
        <v>2</v>
      </c>
      <c r="Q337">
        <v>2</v>
      </c>
      <c r="R337">
        <v>2</v>
      </c>
      <c r="S337">
        <v>2</v>
      </c>
      <c r="T337" s="1"/>
      <c r="U337" s="1"/>
      <c r="V337" s="14"/>
      <c r="W337" s="1"/>
      <c r="Y337" s="6">
        <v>1</v>
      </c>
      <c r="Z337">
        <v>2</v>
      </c>
      <c r="AA337">
        <v>0</v>
      </c>
      <c r="AB337">
        <v>1</v>
      </c>
      <c r="AC337" s="2">
        <v>1</v>
      </c>
      <c r="AD337" s="19"/>
      <c r="AE337" s="2">
        <v>1</v>
      </c>
      <c r="AF337" s="2">
        <v>1</v>
      </c>
      <c r="AG337" s="22"/>
      <c r="AH337" s="7"/>
      <c r="AI337" s="19"/>
      <c r="AJ337" s="36"/>
      <c r="AK337" s="2">
        <v>0</v>
      </c>
      <c r="AL337" s="1"/>
      <c r="AM337" s="26"/>
      <c r="AN337" s="31"/>
      <c r="AO337" s="41"/>
      <c r="AP337" s="31"/>
      <c r="AQ337" s="2">
        <v>233.1</v>
      </c>
      <c r="AR337" s="32">
        <v>2.13</v>
      </c>
      <c r="AS337" s="31">
        <v>0.1</v>
      </c>
      <c r="AT337" s="14">
        <v>1</v>
      </c>
      <c r="AU337" s="29">
        <v>20</v>
      </c>
      <c r="AV337" s="2">
        <v>1</v>
      </c>
      <c r="AW337" s="2">
        <v>1</v>
      </c>
    </row>
    <row r="338" spans="1:49" x14ac:dyDescent="0.2">
      <c r="A338" s="3">
        <v>358</v>
      </c>
      <c r="B338" t="s">
        <v>25</v>
      </c>
      <c r="C338" s="2">
        <v>33.200000000000003</v>
      </c>
      <c r="D338" s="4">
        <v>2</v>
      </c>
      <c r="E338" s="4">
        <v>2</v>
      </c>
      <c r="F338" s="5">
        <v>1</v>
      </c>
      <c r="G338" s="5">
        <v>32.9</v>
      </c>
      <c r="H338">
        <v>1</v>
      </c>
      <c r="I338" t="s">
        <v>26</v>
      </c>
      <c r="J338" s="2">
        <v>1</v>
      </c>
      <c r="K338">
        <v>1</v>
      </c>
      <c r="M338" s="2">
        <v>3.9</v>
      </c>
      <c r="N338">
        <v>2</v>
      </c>
      <c r="O338">
        <v>2</v>
      </c>
      <c r="P338">
        <v>2</v>
      </c>
      <c r="Q338">
        <v>2</v>
      </c>
      <c r="R338">
        <v>2</v>
      </c>
      <c r="T338" s="1"/>
      <c r="U338" s="1"/>
      <c r="V338" s="13"/>
      <c r="W338" s="1"/>
      <c r="Y338" s="4">
        <v>1</v>
      </c>
      <c r="Z338">
        <v>2</v>
      </c>
      <c r="AA338">
        <v>3</v>
      </c>
      <c r="AB338">
        <v>1</v>
      </c>
      <c r="AC338" s="2">
        <v>1</v>
      </c>
      <c r="AD338" s="19"/>
      <c r="AE338" s="2">
        <v>2</v>
      </c>
      <c r="AF338" s="2">
        <v>2</v>
      </c>
      <c r="AH338" s="5"/>
      <c r="AI338" s="10"/>
      <c r="AJ338" s="35"/>
      <c r="AK338" s="2">
        <v>1</v>
      </c>
      <c r="AL338" s="3">
        <v>100</v>
      </c>
      <c r="AM338" s="26"/>
      <c r="AN338" s="29"/>
      <c r="AO338" s="39"/>
      <c r="AP338" s="29"/>
      <c r="AQ338" s="2">
        <v>175.6</v>
      </c>
      <c r="AR338" s="29">
        <v>1.8</v>
      </c>
      <c r="AS338" s="28">
        <v>0.1</v>
      </c>
      <c r="AT338" s="13">
        <v>1</v>
      </c>
      <c r="AU338" s="29">
        <v>20</v>
      </c>
      <c r="AV338" s="2">
        <v>1</v>
      </c>
      <c r="AW338" s="2">
        <v>1</v>
      </c>
    </row>
    <row r="339" spans="1:49" x14ac:dyDescent="0.2">
      <c r="A339" s="3">
        <v>381</v>
      </c>
      <c r="B339" t="s">
        <v>25</v>
      </c>
      <c r="C339" s="2">
        <v>39.5</v>
      </c>
      <c r="D339" s="4">
        <v>2</v>
      </c>
      <c r="E339" s="4">
        <v>2</v>
      </c>
      <c r="F339" s="5"/>
      <c r="G339" s="5"/>
      <c r="H339">
        <v>1</v>
      </c>
      <c r="I339" t="s">
        <v>26</v>
      </c>
      <c r="J339" s="2">
        <v>1</v>
      </c>
      <c r="M339" s="2">
        <v>0.5</v>
      </c>
      <c r="N339">
        <v>1</v>
      </c>
      <c r="O339">
        <v>2</v>
      </c>
      <c r="P339">
        <v>2</v>
      </c>
      <c r="T339" s="1"/>
      <c r="U339" s="1"/>
      <c r="V339" s="13"/>
      <c r="W339" s="1"/>
      <c r="Y339" s="4">
        <v>1</v>
      </c>
      <c r="Z339">
        <v>1</v>
      </c>
      <c r="AA339">
        <v>0</v>
      </c>
      <c r="AB339">
        <v>1</v>
      </c>
      <c r="AC339" s="2">
        <v>1</v>
      </c>
      <c r="AD339" s="19"/>
      <c r="AE339" s="2">
        <v>1</v>
      </c>
      <c r="AF339" s="2">
        <v>1</v>
      </c>
      <c r="AH339" s="5"/>
      <c r="AI339" s="10"/>
      <c r="AJ339" s="35"/>
      <c r="AK339" s="2">
        <v>1</v>
      </c>
      <c r="AL339" s="3">
        <v>100</v>
      </c>
      <c r="AM339" s="26"/>
      <c r="AN339" s="29"/>
      <c r="AO339" s="39"/>
      <c r="AP339" s="28"/>
      <c r="AQ339" s="2">
        <v>216</v>
      </c>
      <c r="AR339" s="29">
        <v>0.93</v>
      </c>
      <c r="AS339" s="28">
        <v>0.1</v>
      </c>
      <c r="AT339" s="13">
        <v>1</v>
      </c>
      <c r="AU339" s="29">
        <v>20</v>
      </c>
      <c r="AV339" s="2">
        <v>1</v>
      </c>
      <c r="AW339" s="2">
        <v>1</v>
      </c>
    </row>
    <row r="340" spans="1:49" x14ac:dyDescent="0.2">
      <c r="A340" s="3">
        <v>383</v>
      </c>
      <c r="B340" t="s">
        <v>25</v>
      </c>
      <c r="C340" s="2">
        <v>53.1</v>
      </c>
      <c r="D340" s="4">
        <v>2</v>
      </c>
      <c r="E340" s="4">
        <v>2</v>
      </c>
      <c r="F340" s="5">
        <v>1</v>
      </c>
      <c r="G340" s="5">
        <v>25</v>
      </c>
      <c r="H340">
        <v>2</v>
      </c>
      <c r="I340" t="s">
        <v>26</v>
      </c>
      <c r="J340" s="2">
        <v>1</v>
      </c>
      <c r="K340">
        <v>1</v>
      </c>
      <c r="M340" s="2">
        <v>0.5</v>
      </c>
      <c r="N340">
        <v>1</v>
      </c>
      <c r="O340">
        <v>2</v>
      </c>
      <c r="P340">
        <v>2</v>
      </c>
      <c r="Q340">
        <v>2</v>
      </c>
      <c r="R340">
        <v>2</v>
      </c>
      <c r="S340">
        <v>2</v>
      </c>
      <c r="T340" s="1"/>
      <c r="U340" s="1"/>
      <c r="V340" s="13"/>
      <c r="W340" s="1"/>
      <c r="Y340" s="4">
        <v>2</v>
      </c>
      <c r="Z340">
        <v>1</v>
      </c>
      <c r="AA340">
        <v>0</v>
      </c>
      <c r="AB340">
        <v>1</v>
      </c>
      <c r="AC340" s="2">
        <v>1</v>
      </c>
      <c r="AD340" s="19"/>
      <c r="AE340" s="2">
        <v>1</v>
      </c>
      <c r="AF340" s="2">
        <v>1</v>
      </c>
      <c r="AH340" s="9"/>
      <c r="AI340" s="10"/>
      <c r="AJ340" s="35"/>
      <c r="AK340" s="2">
        <v>1</v>
      </c>
      <c r="AL340" s="3">
        <v>100</v>
      </c>
      <c r="AM340" s="26"/>
      <c r="AN340" s="29"/>
      <c r="AO340" s="39"/>
      <c r="AP340" s="28"/>
      <c r="AQ340" s="2">
        <v>76</v>
      </c>
      <c r="AR340" s="29">
        <v>1.22</v>
      </c>
      <c r="AS340" s="28">
        <v>0.1</v>
      </c>
      <c r="AT340" s="13">
        <v>1</v>
      </c>
      <c r="AU340" s="29">
        <v>20</v>
      </c>
      <c r="AV340" s="2">
        <v>1</v>
      </c>
      <c r="AW340" s="2">
        <v>1</v>
      </c>
    </row>
    <row r="341" spans="1:49" x14ac:dyDescent="0.2">
      <c r="A341" s="3">
        <v>332</v>
      </c>
      <c r="B341" t="s">
        <v>25</v>
      </c>
      <c r="C341" s="2">
        <v>37.5</v>
      </c>
      <c r="D341" s="6">
        <v>2</v>
      </c>
      <c r="E341" s="6">
        <v>2</v>
      </c>
      <c r="F341" s="7">
        <v>1</v>
      </c>
      <c r="G341" s="7">
        <v>29.3</v>
      </c>
      <c r="H341">
        <v>1</v>
      </c>
      <c r="I341" t="s">
        <v>28</v>
      </c>
      <c r="J341" s="2">
        <v>1</v>
      </c>
      <c r="M341" s="2">
        <v>1</v>
      </c>
      <c r="N341">
        <v>2</v>
      </c>
      <c r="O341">
        <v>1</v>
      </c>
      <c r="P341">
        <v>1</v>
      </c>
      <c r="Q341">
        <v>2</v>
      </c>
      <c r="R341">
        <v>2</v>
      </c>
      <c r="S341">
        <v>2</v>
      </c>
      <c r="T341" s="1"/>
      <c r="U341" s="1"/>
      <c r="V341" s="14"/>
      <c r="W341" s="1"/>
      <c r="Y341" s="6">
        <v>2</v>
      </c>
      <c r="Z341">
        <v>1</v>
      </c>
      <c r="AA341">
        <v>1</v>
      </c>
      <c r="AB341">
        <v>1</v>
      </c>
      <c r="AC341" s="2">
        <v>1</v>
      </c>
      <c r="AD341" s="19"/>
      <c r="AE341" s="2">
        <v>2</v>
      </c>
      <c r="AF341" s="2">
        <v>3</v>
      </c>
      <c r="AG341" s="22"/>
      <c r="AH341" s="7"/>
      <c r="AI341" s="19"/>
      <c r="AJ341" s="36"/>
      <c r="AK341" s="2">
        <v>1</v>
      </c>
      <c r="AL341" s="3">
        <v>100</v>
      </c>
      <c r="AM341" s="26"/>
      <c r="AN341" s="32"/>
      <c r="AO341" s="41"/>
      <c r="AP341" s="31"/>
      <c r="AQ341" s="2">
        <v>285.2</v>
      </c>
      <c r="AR341" s="32">
        <v>1.52</v>
      </c>
      <c r="AS341" s="31">
        <v>0.1</v>
      </c>
      <c r="AT341" s="14">
        <v>1</v>
      </c>
      <c r="AU341" s="29">
        <v>1.3</v>
      </c>
      <c r="AV341" s="2">
        <v>4</v>
      </c>
      <c r="AW341" s="2">
        <v>4</v>
      </c>
    </row>
    <row r="342" spans="1:49" x14ac:dyDescent="0.2">
      <c r="A342" s="3">
        <v>387</v>
      </c>
      <c r="B342" t="s">
        <v>25</v>
      </c>
      <c r="C342" s="2">
        <v>42.3</v>
      </c>
      <c r="D342" s="4">
        <v>2</v>
      </c>
      <c r="E342" s="4">
        <v>2</v>
      </c>
      <c r="F342" s="5"/>
      <c r="G342" s="5"/>
      <c r="H342">
        <v>1</v>
      </c>
      <c r="I342" t="s">
        <v>28</v>
      </c>
      <c r="J342" s="2">
        <v>1</v>
      </c>
      <c r="K342">
        <v>1</v>
      </c>
      <c r="M342" s="2">
        <v>1.8</v>
      </c>
      <c r="N342">
        <v>2</v>
      </c>
      <c r="O342">
        <v>1</v>
      </c>
      <c r="P342">
        <v>1</v>
      </c>
      <c r="Q342">
        <v>2</v>
      </c>
      <c r="R342">
        <v>2</v>
      </c>
      <c r="S342">
        <v>2</v>
      </c>
      <c r="T342" s="1"/>
      <c r="U342" s="1"/>
      <c r="V342" s="13"/>
      <c r="W342" s="1"/>
      <c r="Y342" s="4">
        <v>2</v>
      </c>
      <c r="Z342">
        <v>1</v>
      </c>
      <c r="AA342">
        <v>0</v>
      </c>
      <c r="AB342">
        <v>1</v>
      </c>
      <c r="AC342" s="2">
        <v>1</v>
      </c>
      <c r="AD342" s="19"/>
      <c r="AE342" s="2">
        <v>2</v>
      </c>
      <c r="AF342" s="2">
        <v>3</v>
      </c>
      <c r="AH342" s="5"/>
      <c r="AI342" s="10"/>
      <c r="AJ342" s="35"/>
      <c r="AK342" s="2">
        <v>1</v>
      </c>
      <c r="AL342" s="3">
        <v>150</v>
      </c>
      <c r="AM342" s="26"/>
      <c r="AN342" s="29"/>
      <c r="AO342" s="39"/>
      <c r="AP342" s="28"/>
      <c r="AQ342" s="2">
        <v>129.30000000000001</v>
      </c>
      <c r="AR342" s="29">
        <v>1.7</v>
      </c>
      <c r="AS342" s="30">
        <v>0.1</v>
      </c>
      <c r="AT342" s="13">
        <v>1</v>
      </c>
      <c r="AU342" s="29">
        <v>20</v>
      </c>
      <c r="AV342" s="2">
        <v>1</v>
      </c>
      <c r="AW342" s="2">
        <v>1</v>
      </c>
    </row>
    <row r="343" spans="1:49" x14ac:dyDescent="0.2">
      <c r="A343" s="3">
        <v>437</v>
      </c>
      <c r="B343" t="s">
        <v>25</v>
      </c>
      <c r="C343" s="2">
        <v>40.700000000000003</v>
      </c>
      <c r="D343" s="4">
        <v>2</v>
      </c>
      <c r="E343" s="4">
        <v>2</v>
      </c>
      <c r="F343" s="5">
        <v>1</v>
      </c>
      <c r="G343" s="5"/>
      <c r="H343">
        <v>1</v>
      </c>
      <c r="I343" t="s">
        <v>28</v>
      </c>
      <c r="J343" s="2">
        <v>1</v>
      </c>
      <c r="K343">
        <v>3</v>
      </c>
      <c r="M343" s="2">
        <v>2</v>
      </c>
      <c r="N343">
        <v>1</v>
      </c>
      <c r="O343">
        <v>2</v>
      </c>
      <c r="P343">
        <v>2</v>
      </c>
      <c r="Q343">
        <v>2</v>
      </c>
      <c r="R343">
        <v>2</v>
      </c>
      <c r="S343">
        <v>2</v>
      </c>
      <c r="T343" s="1"/>
      <c r="U343" s="1"/>
      <c r="V343" s="13"/>
      <c r="W343" s="1"/>
      <c r="Y343" s="4">
        <v>2</v>
      </c>
      <c r="Z343">
        <v>1</v>
      </c>
      <c r="AA343">
        <v>0</v>
      </c>
      <c r="AB343">
        <v>1</v>
      </c>
      <c r="AC343" s="2">
        <v>1</v>
      </c>
      <c r="AD343" s="6">
        <v>1</v>
      </c>
      <c r="AE343" s="2">
        <v>1</v>
      </c>
      <c r="AF343" s="2">
        <v>1</v>
      </c>
      <c r="AH343" s="9"/>
      <c r="AI343" s="10"/>
      <c r="AJ343" s="35"/>
      <c r="AK343" s="2">
        <v>1</v>
      </c>
      <c r="AL343" s="3">
        <v>50</v>
      </c>
      <c r="AM343" s="26"/>
      <c r="AN343" s="29"/>
      <c r="AO343" s="39"/>
      <c r="AP343" s="28"/>
      <c r="AQ343" s="2">
        <v>12.1</v>
      </c>
      <c r="AR343" s="29">
        <v>0.81</v>
      </c>
      <c r="AS343" s="29">
        <v>0.3</v>
      </c>
      <c r="AT343" s="13">
        <v>1</v>
      </c>
      <c r="AU343" s="29">
        <v>20</v>
      </c>
      <c r="AV343" s="2">
        <v>2</v>
      </c>
      <c r="AW343" s="2">
        <v>2</v>
      </c>
    </row>
    <row r="344" spans="1:49" x14ac:dyDescent="0.2">
      <c r="A344" s="3">
        <v>396</v>
      </c>
      <c r="B344" t="s">
        <v>25</v>
      </c>
      <c r="C344" s="2">
        <v>35.9</v>
      </c>
      <c r="D344" s="6">
        <v>2</v>
      </c>
      <c r="E344" s="6">
        <v>2</v>
      </c>
      <c r="F344" s="7">
        <v>1</v>
      </c>
      <c r="G344" s="7">
        <v>20</v>
      </c>
      <c r="H344">
        <v>1</v>
      </c>
      <c r="I344" t="s">
        <v>26</v>
      </c>
      <c r="J344" s="2">
        <v>1</v>
      </c>
      <c r="K344">
        <v>1</v>
      </c>
      <c r="M344" s="2">
        <v>0.7</v>
      </c>
      <c r="N344">
        <v>1</v>
      </c>
      <c r="O344">
        <v>2</v>
      </c>
      <c r="P344">
        <v>2</v>
      </c>
      <c r="Q344">
        <v>2</v>
      </c>
      <c r="R344">
        <v>2</v>
      </c>
      <c r="S344">
        <v>1</v>
      </c>
      <c r="T344" s="3">
        <v>4</v>
      </c>
      <c r="U344" s="3">
        <v>3</v>
      </c>
      <c r="V344" s="14">
        <v>75</v>
      </c>
      <c r="W344" s="2">
        <v>0.5</v>
      </c>
      <c r="X344">
        <v>2</v>
      </c>
      <c r="Y344" s="6">
        <v>1</v>
      </c>
      <c r="Z344">
        <v>1</v>
      </c>
      <c r="AA344">
        <v>1</v>
      </c>
      <c r="AB344">
        <v>1</v>
      </c>
      <c r="AC344" s="2">
        <v>1</v>
      </c>
      <c r="AD344" s="19"/>
      <c r="AE344" s="2">
        <v>2</v>
      </c>
      <c r="AF344" s="2">
        <v>2</v>
      </c>
      <c r="AG344" s="22"/>
      <c r="AH344" s="23"/>
      <c r="AI344" s="19"/>
      <c r="AJ344" s="36"/>
      <c r="AK344" s="2">
        <v>1</v>
      </c>
      <c r="AL344" s="1"/>
      <c r="AM344" s="26"/>
      <c r="AN344" s="32"/>
      <c r="AO344" s="41"/>
      <c r="AP344" s="31"/>
      <c r="AQ344" s="2">
        <v>279.89999999999998</v>
      </c>
      <c r="AR344" s="32">
        <v>3.55</v>
      </c>
      <c r="AS344" s="32">
        <v>0.1</v>
      </c>
      <c r="AT344" s="14">
        <v>1</v>
      </c>
      <c r="AU344" s="29">
        <v>1.3</v>
      </c>
      <c r="AV344" s="2">
        <v>1</v>
      </c>
      <c r="AW344" s="2">
        <v>1</v>
      </c>
    </row>
    <row r="345" spans="1:49" x14ac:dyDescent="0.2">
      <c r="A345" s="3">
        <v>462</v>
      </c>
      <c r="B345" t="s">
        <v>25</v>
      </c>
      <c r="C345" s="2">
        <v>22.4</v>
      </c>
      <c r="D345" s="4">
        <v>2</v>
      </c>
      <c r="E345" s="4">
        <v>2</v>
      </c>
      <c r="F345" s="5"/>
      <c r="G345" s="5"/>
      <c r="H345">
        <v>1</v>
      </c>
      <c r="I345" t="s">
        <v>26</v>
      </c>
      <c r="J345" s="2">
        <v>1</v>
      </c>
      <c r="M345" s="2">
        <v>0.5</v>
      </c>
      <c r="O345">
        <v>1</v>
      </c>
      <c r="P345">
        <v>1</v>
      </c>
      <c r="T345" s="1"/>
      <c r="U345" s="1"/>
      <c r="V345" s="13"/>
      <c r="W345" s="1"/>
      <c r="Y345" s="4">
        <v>1</v>
      </c>
      <c r="Z345">
        <v>1</v>
      </c>
      <c r="AA345">
        <v>3</v>
      </c>
      <c r="AB345">
        <v>1</v>
      </c>
      <c r="AC345" s="2">
        <v>1</v>
      </c>
      <c r="AD345" s="19"/>
      <c r="AE345" s="2">
        <v>1</v>
      </c>
      <c r="AF345" s="2">
        <v>3</v>
      </c>
      <c r="AH345" s="9"/>
      <c r="AI345" s="10"/>
      <c r="AJ345" s="35"/>
      <c r="AK345" s="2">
        <v>1</v>
      </c>
      <c r="AL345" s="3">
        <v>100</v>
      </c>
      <c r="AM345" s="26"/>
      <c r="AN345" s="29"/>
      <c r="AO345" s="39"/>
      <c r="AP345" s="28"/>
      <c r="AQ345" s="2">
        <v>180.9</v>
      </c>
      <c r="AR345" s="29">
        <v>13.56</v>
      </c>
      <c r="AS345" s="29">
        <v>0.1</v>
      </c>
      <c r="AT345" s="13">
        <v>1</v>
      </c>
      <c r="AU345" s="29">
        <v>20</v>
      </c>
      <c r="AV345" s="2">
        <v>1</v>
      </c>
      <c r="AW345" s="2">
        <v>1</v>
      </c>
    </row>
    <row r="346" spans="1:49" x14ac:dyDescent="0.2">
      <c r="A346" s="3">
        <v>479</v>
      </c>
      <c r="B346" t="s">
        <v>25</v>
      </c>
      <c r="C346" s="2">
        <v>53.2</v>
      </c>
      <c r="D346" s="4">
        <v>2</v>
      </c>
      <c r="E346" s="4">
        <v>2</v>
      </c>
      <c r="F346" s="5">
        <v>1</v>
      </c>
      <c r="G346" s="5">
        <v>25.5</v>
      </c>
      <c r="H346">
        <v>1</v>
      </c>
      <c r="I346" t="s">
        <v>26</v>
      </c>
      <c r="J346" s="2">
        <v>1</v>
      </c>
      <c r="K346">
        <v>3</v>
      </c>
      <c r="M346" s="2">
        <v>0.5</v>
      </c>
      <c r="N346">
        <v>1</v>
      </c>
      <c r="O346">
        <v>2</v>
      </c>
      <c r="P346">
        <v>2</v>
      </c>
      <c r="T346" s="1"/>
      <c r="U346" s="1"/>
      <c r="V346" s="13"/>
      <c r="W346" s="1"/>
      <c r="Y346" s="4">
        <v>1</v>
      </c>
      <c r="Z346">
        <v>1</v>
      </c>
      <c r="AA346">
        <v>3</v>
      </c>
      <c r="AB346">
        <v>1</v>
      </c>
      <c r="AC346" s="2">
        <v>1</v>
      </c>
      <c r="AD346" s="19"/>
      <c r="AE346" s="2">
        <v>1</v>
      </c>
      <c r="AF346" s="2">
        <v>1</v>
      </c>
      <c r="AH346" s="9"/>
      <c r="AI346" s="10"/>
      <c r="AJ346" s="35"/>
      <c r="AK346" s="2">
        <v>1</v>
      </c>
      <c r="AL346" s="1"/>
      <c r="AM346" s="26"/>
      <c r="AN346" s="29"/>
      <c r="AO346" s="39"/>
      <c r="AP346" s="28"/>
      <c r="AQ346" s="2">
        <v>232.1</v>
      </c>
      <c r="AR346" s="29">
        <v>0.24</v>
      </c>
      <c r="AS346" s="34">
        <v>0.1</v>
      </c>
      <c r="AT346" s="13">
        <v>1</v>
      </c>
      <c r="AU346" s="29">
        <v>20</v>
      </c>
      <c r="AV346" s="2">
        <v>1</v>
      </c>
      <c r="AW346" s="2">
        <v>1</v>
      </c>
    </row>
    <row r="347" spans="1:49" x14ac:dyDescent="0.2">
      <c r="A347" s="3">
        <v>480</v>
      </c>
      <c r="B347" t="s">
        <v>25</v>
      </c>
      <c r="C347" s="2">
        <v>53.7</v>
      </c>
      <c r="D347" s="4">
        <v>2</v>
      </c>
      <c r="E347" s="4">
        <v>2</v>
      </c>
      <c r="F347" s="5">
        <v>1</v>
      </c>
      <c r="G347" s="5">
        <v>40.1</v>
      </c>
      <c r="H347">
        <v>1</v>
      </c>
      <c r="I347" t="s">
        <v>26</v>
      </c>
      <c r="J347" s="2">
        <v>1</v>
      </c>
      <c r="K347">
        <v>1</v>
      </c>
      <c r="M347" s="2">
        <v>1.5</v>
      </c>
      <c r="N347">
        <v>2</v>
      </c>
      <c r="O347">
        <v>2</v>
      </c>
      <c r="P347">
        <v>2</v>
      </c>
      <c r="Q347">
        <v>2</v>
      </c>
      <c r="R347">
        <v>2</v>
      </c>
      <c r="T347" s="1"/>
      <c r="U347" s="1"/>
      <c r="V347" s="13"/>
      <c r="W347" s="1"/>
      <c r="Y347" s="4">
        <v>2</v>
      </c>
      <c r="Z347">
        <v>1</v>
      </c>
      <c r="AA347">
        <v>3</v>
      </c>
      <c r="AB347">
        <v>1</v>
      </c>
      <c r="AC347" s="2">
        <v>1</v>
      </c>
      <c r="AD347" s="19"/>
      <c r="AE347" s="2">
        <v>2</v>
      </c>
      <c r="AF347" s="2">
        <v>2</v>
      </c>
      <c r="AH347" s="5"/>
      <c r="AI347" s="10"/>
      <c r="AK347" s="2">
        <v>1</v>
      </c>
      <c r="AL347" s="3">
        <v>100</v>
      </c>
      <c r="AM347" s="26"/>
      <c r="AN347" s="29"/>
      <c r="AO347" s="39"/>
      <c r="AP347" s="28"/>
      <c r="AQ347" s="2">
        <v>164.9</v>
      </c>
      <c r="AR347" s="29" t="s">
        <v>34</v>
      </c>
      <c r="AS347" s="30">
        <v>0.1</v>
      </c>
      <c r="AT347" s="13">
        <v>1</v>
      </c>
      <c r="AU347" s="29">
        <v>20</v>
      </c>
      <c r="AV347" s="2">
        <v>4</v>
      </c>
      <c r="AW347" s="2">
        <v>4</v>
      </c>
    </row>
    <row r="348" spans="1:49" x14ac:dyDescent="0.2">
      <c r="A348" s="3">
        <v>298</v>
      </c>
      <c r="B348" t="s">
        <v>25</v>
      </c>
      <c r="C348" s="2">
        <v>51.1</v>
      </c>
      <c r="D348" s="4">
        <v>2</v>
      </c>
      <c r="E348" s="4">
        <v>2</v>
      </c>
      <c r="F348" s="5">
        <v>1</v>
      </c>
      <c r="G348" s="5">
        <v>30.6</v>
      </c>
      <c r="H348">
        <v>2</v>
      </c>
      <c r="I348" t="s">
        <v>26</v>
      </c>
      <c r="J348" s="2">
        <v>1</v>
      </c>
      <c r="K348">
        <v>1</v>
      </c>
      <c r="M348" s="2">
        <v>0.8</v>
      </c>
      <c r="N348">
        <v>2</v>
      </c>
      <c r="O348">
        <v>1</v>
      </c>
      <c r="P348">
        <v>2</v>
      </c>
      <c r="Q348">
        <v>1</v>
      </c>
      <c r="R348">
        <v>2</v>
      </c>
      <c r="S348">
        <v>1</v>
      </c>
      <c r="T348" s="3">
        <v>1</v>
      </c>
      <c r="U348" s="3">
        <v>1</v>
      </c>
      <c r="V348" s="13">
        <v>100</v>
      </c>
      <c r="W348" s="1"/>
      <c r="Y348" s="4">
        <v>1</v>
      </c>
      <c r="Z348">
        <v>1</v>
      </c>
      <c r="AA348">
        <v>1</v>
      </c>
      <c r="AB348">
        <v>1</v>
      </c>
      <c r="AC348" s="2">
        <v>1</v>
      </c>
      <c r="AD348" s="19"/>
      <c r="AE348" s="2">
        <v>2</v>
      </c>
      <c r="AF348" s="2">
        <v>3</v>
      </c>
      <c r="AH348" s="9"/>
      <c r="AI348" s="10"/>
      <c r="AJ348" s="35"/>
      <c r="AK348" s="2">
        <v>1</v>
      </c>
      <c r="AL348" s="3">
        <v>100</v>
      </c>
      <c r="AM348" s="26"/>
      <c r="AN348" s="28"/>
      <c r="AO348" s="39"/>
      <c r="AP348" s="28"/>
      <c r="AQ348" s="2">
        <v>78.599999999999994</v>
      </c>
      <c r="AR348" s="29">
        <v>2.13</v>
      </c>
      <c r="AS348" s="28">
        <v>0.1</v>
      </c>
      <c r="AT348" s="13">
        <v>1</v>
      </c>
      <c r="AU348" s="29">
        <v>20</v>
      </c>
      <c r="AV348" s="2">
        <v>1</v>
      </c>
      <c r="AW348" s="2">
        <v>1</v>
      </c>
    </row>
    <row r="349" spans="1:49" x14ac:dyDescent="0.2">
      <c r="A349" s="3">
        <v>483</v>
      </c>
      <c r="B349" t="s">
        <v>25</v>
      </c>
      <c r="C349" s="2">
        <v>62.4</v>
      </c>
      <c r="D349" s="4">
        <v>2</v>
      </c>
      <c r="E349" s="4">
        <v>2</v>
      </c>
      <c r="F349" s="5"/>
      <c r="G349" s="5">
        <v>29.7</v>
      </c>
      <c r="H349">
        <v>1</v>
      </c>
      <c r="I349" t="s">
        <v>26</v>
      </c>
      <c r="J349" s="2">
        <v>1</v>
      </c>
      <c r="K349">
        <v>1</v>
      </c>
      <c r="M349" s="2">
        <v>0.9</v>
      </c>
      <c r="N349">
        <v>1</v>
      </c>
      <c r="O349">
        <v>2</v>
      </c>
      <c r="P349">
        <v>2</v>
      </c>
      <c r="T349" s="1"/>
      <c r="U349" s="1"/>
      <c r="V349" s="13"/>
      <c r="W349" s="1"/>
      <c r="Y349" s="4">
        <v>1</v>
      </c>
      <c r="Z349">
        <v>1</v>
      </c>
      <c r="AA349">
        <v>3</v>
      </c>
      <c r="AB349">
        <v>1</v>
      </c>
      <c r="AC349" s="2">
        <v>2</v>
      </c>
      <c r="AD349" s="19"/>
      <c r="AE349" s="2">
        <v>1</v>
      </c>
      <c r="AF349" s="2">
        <v>1</v>
      </c>
      <c r="AH349" s="5"/>
      <c r="AI349" s="10"/>
      <c r="AJ349" s="35"/>
      <c r="AK349" s="2">
        <v>1</v>
      </c>
      <c r="AL349" s="3">
        <v>100</v>
      </c>
      <c r="AM349" s="26"/>
      <c r="AN349" s="28"/>
      <c r="AO349" s="39"/>
      <c r="AP349" s="28"/>
      <c r="AQ349" s="2">
        <v>211.3</v>
      </c>
      <c r="AR349" s="29">
        <v>4.05</v>
      </c>
      <c r="AS349" s="29">
        <v>0.1</v>
      </c>
      <c r="AT349" s="13">
        <v>1</v>
      </c>
      <c r="AU349" s="29">
        <v>20</v>
      </c>
      <c r="AV349" s="2">
        <v>1</v>
      </c>
      <c r="AW349" s="2">
        <v>1</v>
      </c>
    </row>
    <row r="350" spans="1:49" x14ac:dyDescent="0.2">
      <c r="A350" s="3">
        <v>484</v>
      </c>
      <c r="B350" t="s">
        <v>25</v>
      </c>
      <c r="C350" s="2">
        <v>29.1</v>
      </c>
      <c r="D350" s="4">
        <v>2</v>
      </c>
      <c r="E350" s="4">
        <v>2</v>
      </c>
      <c r="F350" s="5"/>
      <c r="G350" s="5"/>
      <c r="H350">
        <v>1</v>
      </c>
      <c r="I350" t="s">
        <v>26</v>
      </c>
      <c r="J350" s="2">
        <v>1</v>
      </c>
      <c r="K350">
        <v>1</v>
      </c>
      <c r="M350" s="2">
        <v>1</v>
      </c>
      <c r="N350">
        <v>1</v>
      </c>
      <c r="O350">
        <v>2</v>
      </c>
      <c r="P350">
        <v>2</v>
      </c>
      <c r="T350" s="1"/>
      <c r="U350" s="1"/>
      <c r="V350" s="13"/>
      <c r="W350" s="1"/>
      <c r="Y350" s="4">
        <v>2</v>
      </c>
      <c r="Z350">
        <v>1</v>
      </c>
      <c r="AA350">
        <v>3</v>
      </c>
      <c r="AB350">
        <v>1</v>
      </c>
      <c r="AC350" s="2">
        <v>1</v>
      </c>
      <c r="AD350" s="19"/>
      <c r="AE350" s="2">
        <v>1</v>
      </c>
      <c r="AF350" s="2">
        <v>1</v>
      </c>
      <c r="AH350" s="5"/>
      <c r="AI350" s="10"/>
      <c r="AJ350" s="35"/>
      <c r="AK350" s="2">
        <v>0</v>
      </c>
      <c r="AL350" s="1"/>
      <c r="AM350" s="26"/>
      <c r="AN350" s="28"/>
      <c r="AO350" s="39"/>
      <c r="AP350" s="28"/>
      <c r="AQ350" s="2">
        <v>204.4</v>
      </c>
      <c r="AR350" s="29">
        <v>1.04</v>
      </c>
      <c r="AS350" s="28">
        <v>1.92</v>
      </c>
      <c r="AT350" s="13">
        <v>1</v>
      </c>
      <c r="AU350" s="29">
        <v>20</v>
      </c>
      <c r="AV350" s="2">
        <v>2</v>
      </c>
      <c r="AW350" s="2">
        <v>1</v>
      </c>
    </row>
    <row r="351" spans="1:49" x14ac:dyDescent="0.2">
      <c r="A351" s="3">
        <v>485</v>
      </c>
      <c r="B351" t="s">
        <v>25</v>
      </c>
      <c r="C351" s="2">
        <v>61.7</v>
      </c>
      <c r="D351" s="4">
        <v>2</v>
      </c>
      <c r="E351" s="4">
        <v>2</v>
      </c>
      <c r="F351" s="5">
        <v>1</v>
      </c>
      <c r="G351" s="5">
        <v>20</v>
      </c>
      <c r="H351">
        <v>1</v>
      </c>
      <c r="I351" t="s">
        <v>26</v>
      </c>
      <c r="J351" s="2">
        <v>1</v>
      </c>
      <c r="K351">
        <v>1</v>
      </c>
      <c r="M351" s="2">
        <v>1.1000000000000001</v>
      </c>
      <c r="N351">
        <v>1</v>
      </c>
      <c r="O351">
        <v>1</v>
      </c>
      <c r="P351">
        <v>1</v>
      </c>
      <c r="Q351">
        <v>2</v>
      </c>
      <c r="R351">
        <v>2</v>
      </c>
      <c r="T351" s="1"/>
      <c r="U351" s="1"/>
      <c r="V351" s="15"/>
      <c r="W351" s="1"/>
      <c r="Y351" s="4">
        <v>2</v>
      </c>
      <c r="Z351">
        <v>1</v>
      </c>
      <c r="AA351">
        <v>3</v>
      </c>
      <c r="AB351">
        <v>1</v>
      </c>
      <c r="AC351" s="2">
        <v>2</v>
      </c>
      <c r="AD351" s="19"/>
      <c r="AE351" s="2">
        <v>1</v>
      </c>
      <c r="AF351" s="2">
        <v>3</v>
      </c>
      <c r="AH351" s="5"/>
      <c r="AI351" s="10"/>
      <c r="AJ351" s="35"/>
      <c r="AK351" s="2">
        <v>1</v>
      </c>
      <c r="AL351" s="3">
        <v>200</v>
      </c>
      <c r="AM351" s="26"/>
      <c r="AN351" s="29"/>
      <c r="AO351" s="39"/>
      <c r="AP351" s="28"/>
      <c r="AQ351" s="2">
        <v>199.6</v>
      </c>
      <c r="AR351" s="29">
        <v>0.56999999999999995</v>
      </c>
      <c r="AS351" s="30">
        <v>0.1</v>
      </c>
      <c r="AT351" s="13">
        <v>1</v>
      </c>
      <c r="AU351" s="29">
        <v>20</v>
      </c>
      <c r="AV351" s="2">
        <v>1</v>
      </c>
      <c r="AW351" s="2">
        <v>1</v>
      </c>
    </row>
    <row r="352" spans="1:49" x14ac:dyDescent="0.2">
      <c r="A352" s="3">
        <v>424</v>
      </c>
      <c r="B352" t="s">
        <v>27</v>
      </c>
      <c r="C352" s="2">
        <v>55.2</v>
      </c>
      <c r="D352" s="4">
        <v>2</v>
      </c>
      <c r="E352" s="4">
        <v>1</v>
      </c>
      <c r="F352" s="5">
        <v>1</v>
      </c>
      <c r="G352" s="5"/>
      <c r="H352">
        <v>1</v>
      </c>
      <c r="I352" t="s">
        <v>28</v>
      </c>
      <c r="J352" s="2">
        <v>1</v>
      </c>
      <c r="K352">
        <v>3</v>
      </c>
      <c r="M352" s="2">
        <v>5.5</v>
      </c>
      <c r="N352">
        <v>2</v>
      </c>
      <c r="O352">
        <v>2</v>
      </c>
      <c r="P352">
        <v>2</v>
      </c>
      <c r="Q352">
        <v>1</v>
      </c>
      <c r="R352">
        <v>2</v>
      </c>
      <c r="S352">
        <v>2</v>
      </c>
      <c r="T352" s="1"/>
      <c r="U352" s="1"/>
      <c r="V352" s="13"/>
      <c r="W352" s="1"/>
      <c r="Y352" s="4">
        <v>2</v>
      </c>
      <c r="Z352">
        <v>3</v>
      </c>
      <c r="AA352">
        <v>0</v>
      </c>
      <c r="AB352">
        <v>2</v>
      </c>
      <c r="AC352" s="2">
        <v>4</v>
      </c>
      <c r="AD352" s="6">
        <v>2</v>
      </c>
      <c r="AE352" s="2">
        <v>3</v>
      </c>
      <c r="AF352" s="2">
        <v>4</v>
      </c>
      <c r="AH352" s="9"/>
      <c r="AI352" s="10"/>
      <c r="AJ352" s="35"/>
      <c r="AK352" s="2">
        <v>1</v>
      </c>
      <c r="AL352" s="3">
        <v>150</v>
      </c>
      <c r="AM352" s="26"/>
      <c r="AN352" s="28"/>
      <c r="AO352" s="39"/>
      <c r="AP352" s="28"/>
      <c r="AQ352" s="2">
        <v>137.4</v>
      </c>
      <c r="AR352" s="29" t="s">
        <v>33</v>
      </c>
      <c r="AS352" s="28">
        <v>177</v>
      </c>
      <c r="AT352" s="13">
        <v>1</v>
      </c>
      <c r="AU352" s="29">
        <v>35</v>
      </c>
      <c r="AV352" s="2">
        <v>4</v>
      </c>
      <c r="AW352" s="2">
        <v>4</v>
      </c>
    </row>
    <row r="353" spans="1:49" x14ac:dyDescent="0.2">
      <c r="A353" s="3">
        <v>119</v>
      </c>
      <c r="B353" t="s">
        <v>25</v>
      </c>
      <c r="C353" s="2">
        <v>41.5</v>
      </c>
      <c r="D353" s="4"/>
      <c r="E353" s="4"/>
      <c r="F353" s="5"/>
      <c r="G353" s="5"/>
      <c r="H353">
        <v>1</v>
      </c>
      <c r="I353" t="s">
        <v>26</v>
      </c>
      <c r="J353" s="2">
        <v>1</v>
      </c>
      <c r="K353">
        <v>3</v>
      </c>
      <c r="M353" s="2">
        <v>1.5</v>
      </c>
      <c r="N353">
        <v>1</v>
      </c>
      <c r="O353">
        <v>1</v>
      </c>
      <c r="P353">
        <v>1</v>
      </c>
      <c r="Q353">
        <v>1</v>
      </c>
      <c r="R353">
        <v>2</v>
      </c>
      <c r="T353" s="1"/>
      <c r="U353" s="1"/>
      <c r="V353" s="13"/>
      <c r="W353" s="1"/>
      <c r="Y353" s="4"/>
      <c r="Z353">
        <v>1</v>
      </c>
      <c r="AA353">
        <v>3</v>
      </c>
      <c r="AB353">
        <v>1</v>
      </c>
      <c r="AC353" s="2">
        <v>1</v>
      </c>
      <c r="AD353" s="6"/>
      <c r="AE353" s="2">
        <v>2</v>
      </c>
      <c r="AF353" s="2">
        <v>3</v>
      </c>
      <c r="AG353" s="13"/>
      <c r="AH353" s="15"/>
      <c r="AI353" s="4"/>
      <c r="AJ353" s="24"/>
      <c r="AK353" s="2">
        <v>1</v>
      </c>
      <c r="AL353" s="3">
        <v>100</v>
      </c>
      <c r="AM353" s="26"/>
      <c r="AN353" s="29"/>
      <c r="AO353" s="38"/>
      <c r="AP353" s="34"/>
      <c r="AQ353" s="2">
        <v>13.1</v>
      </c>
      <c r="AR353" s="29"/>
      <c r="AS353" s="28"/>
      <c r="AT353" s="13"/>
      <c r="AU353" s="29"/>
      <c r="AV353" s="2">
        <v>2</v>
      </c>
      <c r="AW353" s="2">
        <v>2</v>
      </c>
    </row>
    <row r="354" spans="1:49" x14ac:dyDescent="0.2">
      <c r="A354" s="3">
        <v>459</v>
      </c>
      <c r="B354" t="s">
        <v>25</v>
      </c>
      <c r="C354" s="2">
        <v>41</v>
      </c>
      <c r="D354" s="4">
        <v>2</v>
      </c>
      <c r="E354" s="4">
        <v>2</v>
      </c>
      <c r="F354" s="5"/>
      <c r="G354" s="5"/>
      <c r="H354">
        <v>1</v>
      </c>
      <c r="I354" t="s">
        <v>26</v>
      </c>
      <c r="J354" s="2">
        <v>1</v>
      </c>
      <c r="K354">
        <v>1</v>
      </c>
      <c r="M354" s="2">
        <v>2</v>
      </c>
      <c r="N354">
        <v>1</v>
      </c>
      <c r="O354">
        <v>2</v>
      </c>
      <c r="P354">
        <v>2</v>
      </c>
      <c r="Q354">
        <v>2</v>
      </c>
      <c r="R354">
        <v>2</v>
      </c>
      <c r="S354">
        <v>1</v>
      </c>
      <c r="T354" s="3">
        <v>1</v>
      </c>
      <c r="U354" s="3">
        <v>1</v>
      </c>
      <c r="V354" s="13">
        <v>100</v>
      </c>
      <c r="W354" s="2">
        <v>0.4</v>
      </c>
      <c r="X354">
        <v>2</v>
      </c>
      <c r="Y354" s="4">
        <v>2</v>
      </c>
      <c r="Z354">
        <v>1</v>
      </c>
      <c r="AA354">
        <v>1</v>
      </c>
      <c r="AB354">
        <v>1</v>
      </c>
      <c r="AC354" s="2">
        <v>1</v>
      </c>
      <c r="AD354" s="6">
        <v>1</v>
      </c>
      <c r="AE354" s="2">
        <v>2</v>
      </c>
      <c r="AF354" s="2">
        <v>2</v>
      </c>
      <c r="AH354" s="9"/>
      <c r="AI354" s="10"/>
      <c r="AJ354" s="35"/>
      <c r="AK354" s="2">
        <v>0</v>
      </c>
      <c r="AL354" s="1"/>
      <c r="AM354" s="26"/>
      <c r="AN354" s="29"/>
      <c r="AO354" s="39"/>
      <c r="AP354" s="28"/>
      <c r="AQ354" s="2">
        <v>52.1</v>
      </c>
      <c r="AR354" s="29">
        <v>1.87</v>
      </c>
      <c r="AS354" s="28">
        <v>0.1</v>
      </c>
      <c r="AT354" s="13">
        <v>1</v>
      </c>
      <c r="AU354" s="29">
        <v>20</v>
      </c>
      <c r="AV354" s="2">
        <v>1</v>
      </c>
      <c r="AW354" s="2">
        <v>1</v>
      </c>
    </row>
    <row r="355" spans="1:49" x14ac:dyDescent="0.2">
      <c r="A355" s="3">
        <v>249</v>
      </c>
      <c r="B355" t="s">
        <v>25</v>
      </c>
      <c r="C355" s="2">
        <v>47.6</v>
      </c>
      <c r="D355" s="4">
        <v>2</v>
      </c>
      <c r="E355" s="4">
        <v>2</v>
      </c>
      <c r="F355" s="5">
        <v>1</v>
      </c>
      <c r="G355" s="5">
        <v>27.4</v>
      </c>
      <c r="H355">
        <v>2</v>
      </c>
      <c r="I355" t="s">
        <v>26</v>
      </c>
      <c r="J355" s="2">
        <v>1</v>
      </c>
      <c r="K355">
        <v>1</v>
      </c>
      <c r="M355" s="2">
        <v>1.2</v>
      </c>
      <c r="N355">
        <v>1</v>
      </c>
      <c r="O355">
        <v>2</v>
      </c>
      <c r="P355">
        <v>2</v>
      </c>
      <c r="Q355">
        <v>2</v>
      </c>
      <c r="R355">
        <v>2</v>
      </c>
      <c r="S355">
        <v>2</v>
      </c>
      <c r="T355" s="1"/>
      <c r="U355" s="1"/>
      <c r="V355" s="13"/>
      <c r="W355" s="1"/>
      <c r="Y355" s="4">
        <v>2</v>
      </c>
      <c r="Z355">
        <v>1</v>
      </c>
      <c r="AA355">
        <v>0</v>
      </c>
      <c r="AB355">
        <v>1</v>
      </c>
      <c r="AC355" s="2">
        <v>1</v>
      </c>
      <c r="AD355" s="19"/>
      <c r="AE355" s="2">
        <v>1</v>
      </c>
      <c r="AF355" s="2">
        <v>1</v>
      </c>
      <c r="AH355" s="5"/>
      <c r="AI355" s="10"/>
      <c r="AJ355" s="35"/>
      <c r="AK355" s="2">
        <v>1</v>
      </c>
      <c r="AL355" s="3">
        <v>30</v>
      </c>
      <c r="AM355" s="26"/>
      <c r="AN355" s="29"/>
      <c r="AO355" s="39"/>
      <c r="AP355" s="28"/>
      <c r="AQ355" s="2">
        <v>150.5</v>
      </c>
      <c r="AR355" s="29">
        <v>47</v>
      </c>
      <c r="AS355" s="28">
        <v>0.95</v>
      </c>
      <c r="AT355" s="13">
        <v>1</v>
      </c>
      <c r="AU355" s="29"/>
      <c r="AV355" s="2">
        <v>1</v>
      </c>
      <c r="AW355" s="2">
        <v>1</v>
      </c>
    </row>
    <row r="356" spans="1:49" x14ac:dyDescent="0.2">
      <c r="A356" s="3">
        <v>265</v>
      </c>
      <c r="B356" t="s">
        <v>27</v>
      </c>
      <c r="C356" s="2">
        <v>41.6</v>
      </c>
      <c r="D356" s="4"/>
      <c r="E356" s="4"/>
      <c r="F356" s="5"/>
      <c r="G356" s="5"/>
      <c r="H356">
        <v>1</v>
      </c>
      <c r="I356" t="s">
        <v>26</v>
      </c>
      <c r="J356" s="2">
        <v>1</v>
      </c>
      <c r="K356">
        <v>1</v>
      </c>
      <c r="M356" s="2">
        <v>0.7</v>
      </c>
      <c r="N356">
        <v>1</v>
      </c>
      <c r="O356">
        <v>2</v>
      </c>
      <c r="P356">
        <v>2</v>
      </c>
      <c r="Q356">
        <v>2</v>
      </c>
      <c r="R356">
        <v>2</v>
      </c>
      <c r="S356">
        <v>2</v>
      </c>
      <c r="T356" s="1"/>
      <c r="U356" s="1"/>
      <c r="V356" s="13"/>
      <c r="W356" s="1"/>
      <c r="Y356" s="4"/>
      <c r="Z356">
        <v>1</v>
      </c>
      <c r="AA356">
        <v>0</v>
      </c>
      <c r="AB356">
        <v>1</v>
      </c>
      <c r="AC356" s="2">
        <v>1</v>
      </c>
      <c r="AD356" s="19"/>
      <c r="AE356" s="2">
        <v>1</v>
      </c>
      <c r="AF356" s="2">
        <v>1</v>
      </c>
      <c r="AG356" s="13"/>
      <c r="AH356" s="24"/>
      <c r="AI356" s="4"/>
      <c r="AJ356" s="24"/>
      <c r="AK356" s="2">
        <v>0</v>
      </c>
      <c r="AL356" s="1"/>
      <c r="AM356" s="26"/>
      <c r="AN356" s="29"/>
      <c r="AO356" s="39"/>
      <c r="AP356" s="28"/>
      <c r="AQ356" s="2">
        <v>7</v>
      </c>
      <c r="AR356" s="29"/>
      <c r="AS356" s="28"/>
      <c r="AT356" s="13"/>
      <c r="AU356" s="29"/>
      <c r="AV356" s="2">
        <v>1</v>
      </c>
      <c r="AW356" s="2">
        <v>1</v>
      </c>
    </row>
    <row r="357" spans="1:49" x14ac:dyDescent="0.2">
      <c r="A357" s="3">
        <v>221</v>
      </c>
      <c r="B357" t="s">
        <v>27</v>
      </c>
      <c r="C357" s="2">
        <v>38.700000000000003</v>
      </c>
      <c r="D357" s="4"/>
      <c r="E357" s="4"/>
      <c r="F357" s="5"/>
      <c r="G357" s="5"/>
      <c r="H357">
        <v>2</v>
      </c>
      <c r="I357" t="s">
        <v>28</v>
      </c>
      <c r="J357" s="2">
        <v>1</v>
      </c>
      <c r="K357">
        <v>1</v>
      </c>
      <c r="M357" s="2">
        <v>4.9000000000000004</v>
      </c>
      <c r="N357">
        <v>3</v>
      </c>
      <c r="O357">
        <v>2</v>
      </c>
      <c r="P357">
        <v>2</v>
      </c>
      <c r="Q357">
        <v>1</v>
      </c>
      <c r="R357">
        <v>2</v>
      </c>
      <c r="S357">
        <v>1</v>
      </c>
      <c r="T357" s="3">
        <v>1</v>
      </c>
      <c r="U357" s="3">
        <v>1</v>
      </c>
      <c r="V357" s="13"/>
      <c r="W357" s="2">
        <v>0.7</v>
      </c>
      <c r="X357">
        <v>2</v>
      </c>
      <c r="Y357" s="4"/>
      <c r="Z357">
        <v>3</v>
      </c>
      <c r="AA357">
        <v>1</v>
      </c>
      <c r="AB357">
        <v>1</v>
      </c>
      <c r="AC357" s="2">
        <v>1</v>
      </c>
      <c r="AD357" s="19"/>
      <c r="AE357" s="2">
        <v>3</v>
      </c>
      <c r="AF357" s="2">
        <v>4</v>
      </c>
      <c r="AG357" s="13"/>
      <c r="AH357" s="15"/>
      <c r="AI357" s="4"/>
      <c r="AJ357" s="24"/>
      <c r="AK357" s="2">
        <v>1</v>
      </c>
      <c r="AL357" s="3">
        <v>100</v>
      </c>
      <c r="AM357" s="26"/>
      <c r="AN357" s="29"/>
      <c r="AO357" s="39"/>
      <c r="AP357" s="28"/>
      <c r="AQ357" s="2">
        <v>6.9</v>
      </c>
      <c r="AR357" s="29"/>
      <c r="AS357" s="28"/>
      <c r="AT357" s="13"/>
      <c r="AU357" s="29"/>
      <c r="AV357" s="2">
        <v>2</v>
      </c>
      <c r="AW357" s="2">
        <v>2</v>
      </c>
    </row>
    <row r="358" spans="1:49" x14ac:dyDescent="0.2">
      <c r="A358" s="3">
        <v>453</v>
      </c>
      <c r="B358" t="s">
        <v>27</v>
      </c>
      <c r="C358" s="2">
        <v>40.5</v>
      </c>
      <c r="D358" s="10"/>
      <c r="E358" s="4"/>
      <c r="F358" s="5"/>
      <c r="G358" s="5"/>
      <c r="H358">
        <v>2</v>
      </c>
      <c r="I358" t="s">
        <v>26</v>
      </c>
      <c r="J358" s="2">
        <v>1</v>
      </c>
      <c r="K358">
        <v>1</v>
      </c>
      <c r="M358" s="2">
        <v>2.2000000000000002</v>
      </c>
      <c r="N358">
        <v>1</v>
      </c>
      <c r="O358">
        <v>2</v>
      </c>
      <c r="P358">
        <v>2</v>
      </c>
      <c r="Q358">
        <v>2</v>
      </c>
      <c r="R358">
        <v>2</v>
      </c>
      <c r="S358">
        <v>1</v>
      </c>
      <c r="T358" s="3">
        <v>4</v>
      </c>
      <c r="U358" s="3">
        <v>3</v>
      </c>
      <c r="V358" s="13"/>
      <c r="W358" s="2">
        <v>0.3</v>
      </c>
      <c r="X358">
        <v>2</v>
      </c>
      <c r="Y358" s="4"/>
      <c r="Z358">
        <v>2</v>
      </c>
      <c r="AA358">
        <v>1</v>
      </c>
      <c r="AB358">
        <v>1</v>
      </c>
      <c r="AC358" s="2">
        <v>1</v>
      </c>
      <c r="AD358" s="6"/>
      <c r="AE358" s="2">
        <v>2</v>
      </c>
      <c r="AF358" s="2">
        <v>2</v>
      </c>
      <c r="AH358" s="5"/>
      <c r="AI358" s="10"/>
      <c r="AJ358" s="35"/>
      <c r="AK358" s="2">
        <v>0</v>
      </c>
      <c r="AL358" s="1"/>
      <c r="AM358" s="26"/>
      <c r="AN358" s="29"/>
      <c r="AO358" s="39"/>
      <c r="AP358" s="28"/>
      <c r="AQ358" s="2">
        <v>20.6</v>
      </c>
      <c r="AR358" s="29"/>
      <c r="AS358" s="28"/>
      <c r="AT358" s="13"/>
      <c r="AU358" s="29"/>
      <c r="AV358" s="2">
        <v>1</v>
      </c>
      <c r="AW358" s="2">
        <v>1</v>
      </c>
    </row>
    <row r="359" spans="1:49" x14ac:dyDescent="0.2">
      <c r="A359" s="3">
        <v>473</v>
      </c>
      <c r="B359" t="s">
        <v>25</v>
      </c>
      <c r="C359" s="2">
        <v>35.1</v>
      </c>
      <c r="D359" s="4"/>
      <c r="E359" s="4"/>
      <c r="F359" s="5"/>
      <c r="G359" s="5"/>
      <c r="H359">
        <v>1</v>
      </c>
      <c r="I359" t="s">
        <v>26</v>
      </c>
      <c r="J359" s="2">
        <v>1</v>
      </c>
      <c r="K359">
        <v>1</v>
      </c>
      <c r="M359" s="2">
        <v>3.5</v>
      </c>
      <c r="N359">
        <v>1</v>
      </c>
      <c r="O359">
        <v>1</v>
      </c>
      <c r="P359">
        <v>1</v>
      </c>
      <c r="Q359">
        <v>2</v>
      </c>
      <c r="R359">
        <v>2</v>
      </c>
      <c r="S359">
        <v>1</v>
      </c>
      <c r="T359" s="1"/>
      <c r="U359" s="1"/>
      <c r="V359" s="16"/>
      <c r="W359" s="2">
        <v>0.5</v>
      </c>
      <c r="X359">
        <v>2</v>
      </c>
      <c r="Y359" s="4"/>
      <c r="Z359">
        <v>2</v>
      </c>
      <c r="AA359">
        <v>1</v>
      </c>
      <c r="AB359">
        <v>1</v>
      </c>
      <c r="AC359" s="2">
        <v>1</v>
      </c>
      <c r="AD359" s="19"/>
      <c r="AE359" s="2">
        <v>2</v>
      </c>
      <c r="AF359" s="2">
        <v>3</v>
      </c>
      <c r="AH359" s="9"/>
      <c r="AI359" s="10"/>
      <c r="AJ359" s="35"/>
      <c r="AK359" s="2">
        <v>0</v>
      </c>
      <c r="AL359" s="1"/>
      <c r="AM359" s="26"/>
      <c r="AN359" s="28"/>
      <c r="AO359" s="39"/>
      <c r="AP359" s="28"/>
      <c r="AQ359" s="2">
        <v>7</v>
      </c>
      <c r="AR359" s="29"/>
      <c r="AS359" s="28"/>
      <c r="AT359" s="13"/>
      <c r="AU359" s="29"/>
      <c r="AV359" s="2">
        <v>1</v>
      </c>
      <c r="AW359" s="2">
        <v>1</v>
      </c>
    </row>
    <row r="360" spans="1:49" x14ac:dyDescent="0.2">
      <c r="A360" s="3">
        <v>478</v>
      </c>
      <c r="B360" t="s">
        <v>25</v>
      </c>
      <c r="C360" s="2">
        <v>29.6</v>
      </c>
      <c r="D360" s="6"/>
      <c r="E360" s="6"/>
      <c r="F360" s="7"/>
      <c r="G360" s="7"/>
      <c r="H360">
        <v>1</v>
      </c>
      <c r="I360" t="s">
        <v>26</v>
      </c>
      <c r="J360" s="2">
        <v>1</v>
      </c>
      <c r="K360">
        <v>6</v>
      </c>
      <c r="M360" s="2">
        <v>1.4</v>
      </c>
      <c r="N360">
        <v>1</v>
      </c>
      <c r="O360">
        <v>2</v>
      </c>
      <c r="P360">
        <v>2</v>
      </c>
      <c r="Q360">
        <v>2</v>
      </c>
      <c r="R360">
        <v>2</v>
      </c>
      <c r="S360">
        <v>2</v>
      </c>
      <c r="T360" s="1"/>
      <c r="U360" s="1"/>
      <c r="V360" s="14"/>
      <c r="W360" s="1"/>
      <c r="Y360" s="6"/>
      <c r="Z360">
        <v>1</v>
      </c>
      <c r="AA360">
        <v>0</v>
      </c>
      <c r="AB360">
        <v>1</v>
      </c>
      <c r="AC360" s="2">
        <v>1</v>
      </c>
      <c r="AD360" s="19"/>
      <c r="AE360" s="2">
        <v>2</v>
      </c>
      <c r="AF360" s="2">
        <v>3</v>
      </c>
      <c r="AG360" s="7"/>
      <c r="AH360" s="7"/>
      <c r="AI360" s="19"/>
      <c r="AJ360" s="7"/>
      <c r="AK360" s="2">
        <v>0</v>
      </c>
      <c r="AL360" s="1"/>
      <c r="AM360" s="26"/>
      <c r="AN360" s="32"/>
      <c r="AO360" s="41"/>
      <c r="AP360" s="31"/>
      <c r="AQ360" s="2">
        <v>6.2</v>
      </c>
      <c r="AR360" s="32"/>
      <c r="AS360" s="32"/>
      <c r="AT360" s="14"/>
      <c r="AU360" s="32"/>
      <c r="AV360" s="2">
        <v>2</v>
      </c>
      <c r="AW360" s="2">
        <v>2</v>
      </c>
    </row>
  </sheetData>
  <autoFilter ref="A1:AW360" xr:uid="{DE207DBA-C1D9-B646-AAB0-E535F5863A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Base_pos_limpeza_V6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Microsoft Office User</cp:lastModifiedBy>
  <dcterms:created xsi:type="dcterms:W3CDTF">2011-08-01T14:22:18Z</dcterms:created>
  <dcterms:modified xsi:type="dcterms:W3CDTF">2025-11-14T23:46:39Z</dcterms:modified>
</cp:coreProperties>
</file>